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drawings/drawing7.xml" ContentType="application/vnd.openxmlformats-officedocument.drawing+xml"/>
  <Override PartName="/xl/charts/chart5.xml" ContentType="application/vnd.openxmlformats-officedocument.drawingml.chart+xml"/>
  <Override PartName="/xl/drawings/drawing8.xml" ContentType="application/vnd.openxmlformats-officedocument.drawing+xml"/>
  <Override PartName="/xl/charts/chart6.xml" ContentType="application/vnd.openxmlformats-officedocument.drawingml.chart+xml"/>
  <Override PartName="/xl/drawings/drawing9.xml" ContentType="application/vnd.openxmlformats-officedocument.drawing+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drawings/drawing11.xml" ContentType="application/vnd.openxmlformats-officedocument.drawing+xml"/>
  <Override PartName="/xl/charts/chart9.xml" ContentType="application/vnd.openxmlformats-officedocument.drawingml.chart+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drawings/drawing15.xml" ContentType="application/vnd.openxmlformats-officedocument.drawing+xml"/>
  <Override PartName="/xl/charts/chart13.xml" ContentType="application/vnd.openxmlformats-officedocument.drawingml.chart+xml"/>
  <Override PartName="/xl/drawings/drawing16.xml" ContentType="application/vnd.openxmlformats-officedocument.drawing+xml"/>
  <Override PartName="/xl/charts/chart1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Tsion T\OneDrive\Desktop\"/>
    </mc:Choice>
  </mc:AlternateContent>
  <xr:revisionPtr revIDLastSave="0" documentId="13_ncr:1_{03588630-1805-4473-A2EB-7C5482EE0167}" xr6:coauthVersionLast="47" xr6:coauthVersionMax="47" xr10:uidLastSave="{00000000-0000-0000-0000-000000000000}"/>
  <bookViews>
    <workbookView xWindow="-110" yWindow="-110" windowWidth="19420" windowHeight="10300" xr2:uid="{00000000-000D-0000-FFFF-FFFF00000000}"/>
  </bookViews>
  <sheets>
    <sheet name="Model &amp; Answers" sheetId="2" r:id="rId1"/>
    <sheet name="Explanations" sheetId="114" r:id="rId2"/>
    <sheet name="a.) SimVoi.1 Univariate Summary" sheetId="47" r:id="rId3"/>
    <sheet name="b.) SimVoi.2 Univariate Summary" sheetId="43" r:id="rId4"/>
    <sheet name="c.) SimVoi.3 Simulation Data" sheetId="48" r:id="rId5"/>
    <sheet name="d.)" sheetId="11" r:id="rId6"/>
    <sheet name="275order" sheetId="85" r:id="rId7"/>
    <sheet name="300order" sheetId="87" r:id="rId8"/>
    <sheet name="325order" sheetId="89" r:id="rId9"/>
    <sheet name="350order" sheetId="91" r:id="rId10"/>
    <sheet name="375order" sheetId="103" r:id="rId11"/>
    <sheet name="400order" sheetId="93" r:id="rId12"/>
    <sheet name="425order" sheetId="107" r:id="rId13"/>
    <sheet name="450order" sheetId="97" r:id="rId14"/>
    <sheet name="475order" sheetId="99" r:id="rId15"/>
    <sheet name="500order" sheetId="109" r:id="rId16"/>
    <sheet name="e.)SimVoi.10 Univariate Summary" sheetId="81" r:id="rId17"/>
  </sheets>
  <externalReferences>
    <externalReference r:id="rId18"/>
  </externalReferences>
  <definedNames>
    <definedName name="_xlnm.Print_Area" localSheetId="6">'275order'!$A$1:$B$14</definedName>
    <definedName name="_xlnm.Print_Area" localSheetId="7">'300order'!$A$1:$B$14</definedName>
    <definedName name="_xlnm.Print_Area" localSheetId="8">'325order'!$A$1:$B$14</definedName>
    <definedName name="_xlnm.Print_Area" localSheetId="9">'350order'!$A$1:$B$14</definedName>
    <definedName name="_xlnm.Print_Area" localSheetId="10">'375order'!$A$1:$B$14</definedName>
    <definedName name="_xlnm.Print_Area" localSheetId="11">'400order'!$A$1:$B$14</definedName>
    <definedName name="_xlnm.Print_Area" localSheetId="12">'425order'!$A$1:$B$14</definedName>
    <definedName name="_xlnm.Print_Area" localSheetId="13">'450order'!$A$1:$B$14</definedName>
    <definedName name="_xlnm.Print_Area" localSheetId="14">'475order'!$A$1:$B$14</definedName>
    <definedName name="_xlnm.Print_Area" localSheetId="15">'500order'!$A$1:$B$14</definedName>
    <definedName name="_xlnm.Print_Area" localSheetId="2">'a.) SimVoi.1 Univariate Summary'!$A$1:$B$14</definedName>
    <definedName name="_xlnm.Print_Area" localSheetId="3">'b.) SimVoi.2 Univariate Summary'!$A$1:$B$14</definedName>
    <definedName name="_xlnm.Print_Area" localSheetId="4">'c.) SimVoi.3 Simulation Data'!$D$1:$F$13</definedName>
    <definedName name="_xlnm.Print_Area" localSheetId="16">'e.)SimVoi.10 Univariate Summary'!$A$1:$B$14</definedName>
    <definedName name="SimVoiCheckBoxBivariateCharts" localSheetId="0" hidden="1">FALSE</definedName>
    <definedName name="SimVoiCheckBoxCumulativeCharts" localSheetId="0" hidden="1">FALSE</definedName>
    <definedName name="SimVoiOptionMonteCarloSimOnly" localSheetId="0" hidden="1">TRUE</definedName>
    <definedName name="SimVoiRefEditOutputValueCell" localSheetId="0" hidden="1">"'Model &amp; Answers'!$J$10"</definedName>
    <definedName name="SimVoiTextBoxNumberOfBrackets" localSheetId="0" hidden="1">100</definedName>
    <definedName name="SimVoiTextBoxNumberOfTrials" localSheetId="0" hidden="1">5000</definedName>
    <definedName name="SimVoiTextBoxNumberPointsBivariate" localSheetId="0" hidden="1">1000</definedName>
    <definedName name="SimVoiTextBoxNumberPointsCumulative" localSheetId="0" hidden="1">1000</definedName>
    <definedName name="SimVoiTextBoxTrialsPerBracket" localSheetId="0" hidden="1">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48" l="1"/>
  <c r="D21" i="48"/>
  <c r="C10" i="2" a="1"/>
  <c r="I10" i="2" a="1"/>
  <c r="A4" i="2" a="1"/>
  <c r="B10" i="2" a="1"/>
  <c r="C10" i="2" l="1"/>
  <c r="I10" i="2"/>
  <c r="A4" i="2"/>
  <c r="B10" i="2"/>
  <c r="E10" i="2" l="1"/>
  <c r="D10" i="2"/>
  <c r="F10" i="2" l="1"/>
  <c r="G10" i="2" s="1"/>
  <c r="H10" i="2" l="1"/>
  <c r="J10"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<sst xmlns="http://schemas.openxmlformats.org/spreadsheetml/2006/main" count="583" uniqueCount="59">
  <si>
    <t>Trial</t>
  </si>
  <si>
    <t>Total Demand</t>
  </si>
  <si>
    <t>Total Profit</t>
  </si>
  <si>
    <t>cost per suit</t>
  </si>
  <si>
    <t>full price</t>
  </si>
  <si>
    <t>half-price</t>
  </si>
  <si>
    <t>discount price (random)</t>
  </si>
  <si>
    <t>order quantity (adjustable)</t>
  </si>
  <si>
    <t>3-Month Demand (Normal)</t>
  </si>
  <si>
    <t>Remaining Inventory After Full</t>
  </si>
  <si>
    <t>Half Price sold</t>
  </si>
  <si>
    <t xml:space="preserve"> Full Price Sold </t>
  </si>
  <si>
    <t>Remaining Inventory After Sale</t>
  </si>
  <si>
    <t>Discount Price</t>
  </si>
  <si>
    <t>SimVoi 313 Student Version Simulation Data</t>
  </si>
  <si>
    <t>Only For Students And Instructors</t>
  </si>
  <si>
    <t>Date</t>
  </si>
  <si>
    <t>Time</t>
  </si>
  <si>
    <t>Not For Commercial Use</t>
  </si>
  <si>
    <t>Workbook</t>
  </si>
  <si>
    <t>Number of Trials</t>
  </si>
  <si>
    <t>Seed</t>
  </si>
  <si>
    <t>Output Value Worksheet</t>
  </si>
  <si>
    <t>Sheet2</t>
  </si>
  <si>
    <t>Output Value Cell</t>
  </si>
  <si>
    <t>$J$10</t>
  </si>
  <si>
    <t>Output Value Label</t>
  </si>
  <si>
    <t>This Simulation Data worksheet may be deleted</t>
  </si>
  <si>
    <t>without affecting the data or charts in the</t>
  </si>
  <si>
    <t>Univariate Summary, Bivariate Summary, or</t>
  </si>
  <si>
    <t>Value Of Information worksheets.</t>
  </si>
  <si>
    <t>SimVoi 313 Student Version Univariate Summary</t>
  </si>
  <si>
    <t>Mean</t>
  </si>
  <si>
    <t>St. Dev.</t>
  </si>
  <si>
    <t>Mean St. Error</t>
  </si>
  <si>
    <t>Skewness</t>
  </si>
  <si>
    <t>Minimum</t>
  </si>
  <si>
    <t>First Quartile</t>
  </si>
  <si>
    <t>Median</t>
  </si>
  <si>
    <t>Third Quartile</t>
  </si>
  <si>
    <t>Maximum</t>
  </si>
  <si>
    <t>Excel PERCENTILE</t>
  </si>
  <si>
    <t>SimVoi Student Version Univariate Summary</t>
  </si>
  <si>
    <t>Trials</t>
  </si>
  <si>
    <t>Worksheet</t>
  </si>
  <si>
    <t>Cell</t>
  </si>
  <si>
    <t>Label</t>
  </si>
  <si>
    <t>Upper Limit</t>
  </si>
  <si>
    <t>Frequency</t>
  </si>
  <si>
    <t xml:space="preserve"> </t>
  </si>
  <si>
    <t>MonteCarlo_Simulation.xlsx</t>
  </si>
  <si>
    <t>$D$10</t>
  </si>
  <si>
    <t>Order Qty</t>
  </si>
  <si>
    <t>Expected Profit</t>
  </si>
  <si>
    <t xml:space="preserve">4th-Month Demand </t>
  </si>
  <si>
    <t>Data &amp; Answers</t>
  </si>
  <si>
    <t>Assignment2_MonteCarloSimulation.xlsx</t>
  </si>
  <si>
    <t>Model &amp; Answers</t>
  </si>
  <si>
    <t xml:space="preserve">Group Members: Tsion Temesgen, Alexis Frazee, Fabiha Hatem, Abdelrahman Hussein, Denis Smekhov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</si>
</sst>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0;0.000"/>
  </numFmts>
  <fonts count="5">
    <font>
      <sz val="11"/>
      <color theme="1"/>
      <name val="Calibri"/>
      <family val="2"/>
      <scheme val="minor"/>
    </font>
    <font>
      <b/>
      <sz val="11"/>
      <color theme="1"/>
      <name val="Calibri"/>
      <family val="2"/>
      <scheme val="minor"/>
    </font>
    <font>
      <b/>
      <sz val="10"/>
      <color theme="1"/>
      <name val="Arial Unicode MS"/>
    </font>
    <font>
      <sz val="11"/>
      <color theme="1"/>
      <name val="Calibri"/>
      <family val="2"/>
      <scheme val="minor"/>
    </font>
    <font>
      <sz val="10"/>
      <color theme="1"/>
      <name val="Arial Unicode MS"/>
    </font>
  </fonts>
  <fills count="6">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3" fillId="0" borderId="0" applyFont="0" applyFill="0" applyBorder="0" applyAlignment="0" applyProtection="0"/>
  </cellStyleXfs>
  <cellXfs count="26">
    <xf numFmtId="0" fontId="0" fillId="0" borderId="0" xfId="0"/>
    <xf numFmtId="0" fontId="1" fillId="0" borderId="0" xfId="0" applyFont="1" applyAlignment="1">
      <alignment vertical="center" wrapText="1"/>
    </xf>
    <xf numFmtId="0" fontId="0" fillId="0" borderId="0" xfId="0" applyNumberFormat="1"/>
    <xf numFmtId="0" fontId="0" fillId="0" borderId="0" xfId="0" applyAlignment="1">
      <alignment horizontal="right"/>
    </xf>
    <xf numFmtId="0" fontId="0" fillId="0" borderId="0" xfId="0" quotePrefix="1" applyAlignment="1">
      <alignment horizontal="right"/>
    </xf>
    <xf numFmtId="0" fontId="1" fillId="0" borderId="0" xfId="0" applyFont="1"/>
    <xf numFmtId="0" fontId="0" fillId="0" borderId="0" xfId="0" applyAlignment="1">
      <alignment horizontal="left"/>
    </xf>
    <xf numFmtId="14" fontId="0" fillId="0" borderId="0" xfId="0" applyNumberFormat="1" applyAlignment="1">
      <alignment horizontal="left"/>
    </xf>
    <xf numFmtId="19" fontId="0" fillId="0" borderId="0" xfId="0" applyNumberFormat="1" applyAlignment="1">
      <alignment horizontal="left"/>
    </xf>
    <xf numFmtId="0" fontId="1" fillId="0" borderId="0" xfId="0" applyFont="1" applyAlignment="1">
      <alignment horizontal="left"/>
    </xf>
    <xf numFmtId="164" fontId="3" fillId="0" borderId="0" xfId="1" applyNumberFormat="1" applyFont="1" applyAlignment="1">
      <alignment horizontal="right"/>
    </xf>
    <xf numFmtId="165" fontId="0" fillId="0" borderId="0" xfId="0" applyNumberFormat="1"/>
    <xf numFmtId="0" fontId="0" fillId="0" borderId="0" xfId="0" applyNumberFormat="1" applyAlignment="1">
      <alignment horizontal="right"/>
    </xf>
    <xf numFmtId="165" fontId="0" fillId="0" borderId="0" xfId="0" applyNumberFormat="1" applyAlignment="1">
      <alignment horizontal="right"/>
    </xf>
    <xf numFmtId="0" fontId="0" fillId="0" borderId="0" xfId="0" applyAlignment="1">
      <alignment vertical="center" wrapText="1"/>
    </xf>
    <xf numFmtId="0" fontId="4" fillId="0" borderId="0" xfId="0" applyFont="1" applyAlignment="1">
      <alignment vertical="center" wrapText="1"/>
    </xf>
    <xf numFmtId="0" fontId="1" fillId="0" borderId="0" xfId="0" applyFont="1" applyAlignment="1">
      <alignment horizontal="center" vertical="center" wrapText="1"/>
    </xf>
    <xf numFmtId="0" fontId="0" fillId="0" borderId="0" xfId="0" applyFill="1"/>
    <xf numFmtId="0" fontId="0" fillId="0" borderId="0" xfId="0" applyFont="1"/>
    <xf numFmtId="0" fontId="0" fillId="2" borderId="0" xfId="0" applyFill="1"/>
    <xf numFmtId="0" fontId="0" fillId="3" borderId="0" xfId="0" applyFill="1"/>
    <xf numFmtId="0" fontId="2" fillId="3" borderId="0" xfId="0" applyFont="1" applyFill="1" applyAlignment="1">
      <alignment vertical="center" wrapText="1"/>
    </xf>
    <xf numFmtId="0" fontId="1" fillId="3" borderId="0" xfId="0" applyFont="1" applyFill="1" applyAlignment="1">
      <alignment vertical="center" wrapText="1"/>
    </xf>
    <xf numFmtId="0" fontId="1" fillId="4" borderId="1" xfId="0" applyFont="1" applyFill="1" applyBorder="1" applyAlignment="1">
      <alignment horizontal="center" vertical="top"/>
    </xf>
    <xf numFmtId="0" fontId="0" fillId="5" borderId="0" xfId="0" applyFill="1"/>
    <xf numFmtId="0" fontId="0" fillId="2" borderId="0" xfId="0" applyNumberFormat="1" applyFill="1" applyAlignment="1">
      <alignment horizontal="right"/>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a:pPr>
            <a:r>
              <a:rPr lang="en-US" sz="1000" b="1" i="0"/>
              <a:t>Not For Commercial Use</a:t>
            </a:r>
            <a:r>
              <a:rPr lang="en-US" sz="1000" b="0" i="0"/>
              <a:t>
SimVoi Student Version Histogram For 5000 Trials</a:t>
            </a:r>
          </a:p>
        </c:rich>
      </c:tx>
      <c:overlay val="0"/>
    </c:title>
    <c:autoTitleDeleted val="0"/>
    <c:plotArea>
      <c:layout/>
      <c:barChart>
        <c:barDir val="col"/>
        <c:grouping val="clustered"/>
        <c:varyColors val="0"/>
        <c:ser>
          <c:idx val="0"/>
          <c:order val="0"/>
          <c:spPr>
            <a:noFill/>
            <a:ln>
              <a:solidFill>
                <a:srgbClr val="000000"/>
              </a:solidFill>
              <a:prstDash val="solid"/>
            </a:ln>
          </c:spPr>
          <c:invertIfNegative val="0"/>
          <c:cat>
            <c:numRef>
              <c:f>'a.) SimVoi.1 Univariate Summary'!$E$32:$E$45</c:f>
              <c:numCache>
                <c:formatCode>General</c:formatCode>
                <c:ptCount val="14"/>
                <c:pt idx="0">
                  <c:v>50</c:v>
                </c:pt>
                <c:pt idx="1">
                  <c:v>100</c:v>
                </c:pt>
                <c:pt idx="2">
                  <c:v>150</c:v>
                </c:pt>
                <c:pt idx="3">
                  <c:v>200</c:v>
                </c:pt>
                <c:pt idx="4">
                  <c:v>250</c:v>
                </c:pt>
                <c:pt idx="5">
                  <c:v>300</c:v>
                </c:pt>
                <c:pt idx="6">
                  <c:v>350</c:v>
                </c:pt>
                <c:pt idx="7">
                  <c:v>400</c:v>
                </c:pt>
                <c:pt idx="8">
                  <c:v>450</c:v>
                </c:pt>
                <c:pt idx="9">
                  <c:v>500</c:v>
                </c:pt>
                <c:pt idx="10">
                  <c:v>550</c:v>
                </c:pt>
                <c:pt idx="11">
                  <c:v>600</c:v>
                </c:pt>
                <c:pt idx="12">
                  <c:v>650</c:v>
                </c:pt>
                <c:pt idx="13">
                  <c:v>700</c:v>
                </c:pt>
              </c:numCache>
            </c:numRef>
          </c:cat>
          <c:val>
            <c:numRef>
              <c:f>'a.) SimVoi.1 Univariate Summary'!$F$32:$F$45</c:f>
              <c:numCache>
                <c:formatCode>General</c:formatCode>
                <c:ptCount val="14"/>
                <c:pt idx="0">
                  <c:v>0</c:v>
                </c:pt>
                <c:pt idx="1">
                  <c:v>2</c:v>
                </c:pt>
                <c:pt idx="2">
                  <c:v>28</c:v>
                </c:pt>
                <c:pt idx="3">
                  <c:v>135</c:v>
                </c:pt>
                <c:pt idx="4">
                  <c:v>408</c:v>
                </c:pt>
                <c:pt idx="5">
                  <c:v>848</c:v>
                </c:pt>
                <c:pt idx="6">
                  <c:v>1224</c:v>
                </c:pt>
                <c:pt idx="7">
                  <c:v>1151</c:v>
                </c:pt>
                <c:pt idx="8">
                  <c:v>770</c:v>
                </c:pt>
                <c:pt idx="9">
                  <c:v>300</c:v>
                </c:pt>
                <c:pt idx="10">
                  <c:v>106</c:v>
                </c:pt>
                <c:pt idx="11">
                  <c:v>21</c:v>
                </c:pt>
                <c:pt idx="12">
                  <c:v>6</c:v>
                </c:pt>
                <c:pt idx="13">
                  <c:v>1</c:v>
                </c:pt>
              </c:numCache>
            </c:numRef>
          </c:val>
          <c:extLst>
            <c:ext xmlns:c16="http://schemas.microsoft.com/office/drawing/2014/chart" uri="{C3380CC4-5D6E-409C-BE32-E72D297353CC}">
              <c16:uniqueId val="{00000002-62C4-4B0B-80D9-3291658AC4D8}"/>
            </c:ext>
          </c:extLst>
        </c:ser>
        <c:dLbls>
          <c:showLegendKey val="0"/>
          <c:showVal val="0"/>
          <c:showCatName val="0"/>
          <c:showSerName val="0"/>
          <c:showPercent val="0"/>
          <c:showBubbleSize val="0"/>
        </c:dLbls>
        <c:gapWidth val="0"/>
        <c:axId val="1206320239"/>
        <c:axId val="1206321199"/>
      </c:barChart>
      <c:scatterChart>
        <c:scatterStyle val="lineMarker"/>
        <c:varyColors val="0"/>
        <c:ser>
          <c:idx val="1"/>
          <c:order val="1"/>
          <c:spPr>
            <a:ln w="28575">
              <a:noFill/>
            </a:ln>
          </c:spPr>
          <c:marker>
            <c:symbol val="none"/>
          </c:marker>
          <c:yVal>
            <c:numLit>
              <c:formatCode>General</c:formatCode>
              <c:ptCount val="2"/>
              <c:pt idx="0">
                <c:v>1</c:v>
              </c:pt>
              <c:pt idx="1">
                <c:v>2</c:v>
              </c:pt>
            </c:numLit>
          </c:yVal>
          <c:smooth val="0"/>
          <c:extLst>
            <c:ext xmlns:c16="http://schemas.microsoft.com/office/drawing/2014/chart" uri="{C3380CC4-5D6E-409C-BE32-E72D297353CC}">
              <c16:uniqueId val="{00000003-62C4-4B0B-80D9-3291658AC4D8}"/>
            </c:ext>
          </c:extLst>
        </c:ser>
        <c:dLbls>
          <c:showLegendKey val="0"/>
          <c:showVal val="0"/>
          <c:showCatName val="0"/>
          <c:showSerName val="0"/>
          <c:showPercent val="0"/>
          <c:showBubbleSize val="0"/>
        </c:dLbls>
        <c:axId val="1206335599"/>
        <c:axId val="1206322159"/>
      </c:scatterChart>
      <c:catAx>
        <c:axId val="1206320239"/>
        <c:scaling>
          <c:orientation val="minMax"/>
        </c:scaling>
        <c:delete val="1"/>
        <c:axPos val="b"/>
        <c:numFmt formatCode="General" sourceLinked="1"/>
        <c:majorTickMark val="out"/>
        <c:minorTickMark val="none"/>
        <c:tickLblPos val="nextTo"/>
        <c:crossAx val="1206321199"/>
        <c:crosses val="autoZero"/>
        <c:auto val="1"/>
        <c:lblAlgn val="ctr"/>
        <c:lblOffset val="100"/>
        <c:noMultiLvlLbl val="0"/>
      </c:catAx>
      <c:valAx>
        <c:axId val="1206321199"/>
        <c:scaling>
          <c:orientation val="minMax"/>
        </c:scaling>
        <c:delete val="0"/>
        <c:axPos val="l"/>
        <c:title>
          <c:tx>
            <c:rich>
              <a:bodyPr/>
              <a:lstStyle/>
              <a:p>
                <a:pPr>
                  <a:defRPr b="0" i="0"/>
                </a:pPr>
                <a:r>
                  <a:rPr lang="en-US" b="0" i="0"/>
                  <a:t>Column Frequency</a:t>
                </a:r>
              </a:p>
            </c:rich>
          </c:tx>
          <c:overlay val="0"/>
        </c:title>
        <c:numFmt formatCode="General" sourceLinked="1"/>
        <c:majorTickMark val="out"/>
        <c:minorTickMark val="none"/>
        <c:tickLblPos val="nextTo"/>
        <c:spPr>
          <a:ln>
            <a:solidFill>
              <a:srgbClr val="000000"/>
            </a:solidFill>
            <a:prstDash val="solid"/>
          </a:ln>
        </c:spPr>
        <c:txPr>
          <a:bodyPr/>
          <a:lstStyle/>
          <a:p>
            <a:pPr>
              <a:defRPr sz="800" b="0" i="0"/>
            </a:pPr>
            <a:endParaRPr lang="en-US"/>
          </a:p>
        </c:txPr>
        <c:crossAx val="1206320239"/>
        <c:crosses val="autoZero"/>
        <c:crossBetween val="between"/>
      </c:valAx>
      <c:valAx>
        <c:axId val="1206322159"/>
        <c:scaling>
          <c:orientation val="minMax"/>
        </c:scaling>
        <c:delete val="1"/>
        <c:axPos val="r"/>
        <c:numFmt formatCode="General" sourceLinked="1"/>
        <c:majorTickMark val="out"/>
        <c:minorTickMark val="none"/>
        <c:tickLblPos val="nextTo"/>
        <c:crossAx val="1206335599"/>
        <c:crosses val="max"/>
        <c:crossBetween val="midCat"/>
      </c:valAx>
      <c:valAx>
        <c:axId val="1206335599"/>
        <c:scaling>
          <c:orientation val="minMax"/>
          <c:max val="700"/>
          <c:min val="0"/>
        </c:scaling>
        <c:delete val="0"/>
        <c:axPos val="b"/>
        <c:title>
          <c:tx>
            <c:rich>
              <a:bodyPr/>
              <a:lstStyle/>
              <a:p>
                <a:pPr>
                  <a:defRPr b="0" i="0"/>
                </a:pPr>
                <a:r>
                  <a:rPr lang="en-US" b="0" i="0"/>
                  <a:t>Total Demand, Column Width = 50</a:t>
                </a:r>
              </a:p>
            </c:rich>
          </c:tx>
          <c:overlay val="0"/>
        </c:title>
        <c:numFmt formatCode="General" sourceLinked="0"/>
        <c:majorTickMark val="out"/>
        <c:minorTickMark val="none"/>
        <c:tickLblPos val="nextTo"/>
        <c:spPr>
          <a:ln>
            <a:solidFill>
              <a:srgbClr val="000000"/>
            </a:solidFill>
            <a:prstDash val="solid"/>
          </a:ln>
        </c:spPr>
        <c:txPr>
          <a:bodyPr rot="0" vert="horz"/>
          <a:lstStyle/>
          <a:p>
            <a:pPr>
              <a:defRPr sz="800" b="0" i="0"/>
            </a:pPr>
            <a:endParaRPr lang="en-US"/>
          </a:p>
        </c:txPr>
        <c:crossAx val="1206322159"/>
        <c:crossesAt val="0"/>
        <c:crossBetween val="midCat"/>
        <c:majorUnit val="100"/>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a:pPr>
            <a:r>
              <a:rPr lang="en-US" sz="1000" b="1" i="0"/>
              <a:t>Not For Commercial Use</a:t>
            </a:r>
            <a:r>
              <a:rPr lang="en-US" sz="1000" b="0" i="0"/>
              <a:t>
SimVoi Student Version Histogram For 5000 Trials</a:t>
            </a:r>
          </a:p>
        </c:rich>
      </c:tx>
      <c:overlay val="0"/>
    </c:title>
    <c:autoTitleDeleted val="0"/>
    <c:plotArea>
      <c:layout/>
      <c:barChart>
        <c:barDir val="col"/>
        <c:grouping val="clustered"/>
        <c:varyColors val="0"/>
        <c:ser>
          <c:idx val="0"/>
          <c:order val="0"/>
          <c:spPr>
            <a:noFill/>
            <a:ln>
              <a:solidFill>
                <a:srgbClr val="000000"/>
              </a:solidFill>
              <a:prstDash val="solid"/>
            </a:ln>
          </c:spPr>
          <c:invertIfNegative val="0"/>
          <c:cat>
            <c:numRef>
              <c:f>'b.) SimVoi.2 Univariate Summary'!$E$32:$E$51</c:f>
              <c:numCache>
                <c:formatCode>General</c:formatCode>
                <c:ptCount val="20"/>
                <c:pt idx="0">
                  <c:v>1000</c:v>
                </c:pt>
                <c:pt idx="1">
                  <c:v>2000</c:v>
                </c:pt>
                <c:pt idx="2">
                  <c:v>3000</c:v>
                </c:pt>
                <c:pt idx="3">
                  <c:v>4000</c:v>
                </c:pt>
                <c:pt idx="4">
                  <c:v>5000</c:v>
                </c:pt>
                <c:pt idx="5">
                  <c:v>6000</c:v>
                </c:pt>
                <c:pt idx="6">
                  <c:v>7000</c:v>
                </c:pt>
                <c:pt idx="7">
                  <c:v>8000</c:v>
                </c:pt>
                <c:pt idx="8">
                  <c:v>9000</c:v>
                </c:pt>
                <c:pt idx="9">
                  <c:v>10000</c:v>
                </c:pt>
                <c:pt idx="10">
                  <c:v>11000</c:v>
                </c:pt>
                <c:pt idx="11">
                  <c:v>12000</c:v>
                </c:pt>
                <c:pt idx="12">
                  <c:v>13000</c:v>
                </c:pt>
                <c:pt idx="13">
                  <c:v>14000</c:v>
                </c:pt>
                <c:pt idx="14">
                  <c:v>15000</c:v>
                </c:pt>
                <c:pt idx="15">
                  <c:v>16000</c:v>
                </c:pt>
                <c:pt idx="16">
                  <c:v>17000</c:v>
                </c:pt>
                <c:pt idx="17">
                  <c:v>18000</c:v>
                </c:pt>
                <c:pt idx="18">
                  <c:v>19000</c:v>
                </c:pt>
                <c:pt idx="19">
                  <c:v>20000</c:v>
                </c:pt>
              </c:numCache>
            </c:numRef>
          </c:cat>
          <c:val>
            <c:numRef>
              <c:f>'b.) SimVoi.2 Univariate Summary'!$F$32:$F$51</c:f>
              <c:numCache>
                <c:formatCode>General</c:formatCode>
                <c:ptCount val="20"/>
                <c:pt idx="0">
                  <c:v>5</c:v>
                </c:pt>
                <c:pt idx="1">
                  <c:v>3</c:v>
                </c:pt>
                <c:pt idx="2">
                  <c:v>7</c:v>
                </c:pt>
                <c:pt idx="3">
                  <c:v>9</c:v>
                </c:pt>
                <c:pt idx="4">
                  <c:v>17</c:v>
                </c:pt>
                <c:pt idx="5">
                  <c:v>26</c:v>
                </c:pt>
                <c:pt idx="6">
                  <c:v>41</c:v>
                </c:pt>
                <c:pt idx="7">
                  <c:v>68</c:v>
                </c:pt>
                <c:pt idx="8">
                  <c:v>120</c:v>
                </c:pt>
                <c:pt idx="9">
                  <c:v>172</c:v>
                </c:pt>
                <c:pt idx="10">
                  <c:v>189</c:v>
                </c:pt>
                <c:pt idx="11">
                  <c:v>258</c:v>
                </c:pt>
                <c:pt idx="12">
                  <c:v>278</c:v>
                </c:pt>
                <c:pt idx="13">
                  <c:v>382</c:v>
                </c:pt>
                <c:pt idx="14">
                  <c:v>525</c:v>
                </c:pt>
                <c:pt idx="15">
                  <c:v>585</c:v>
                </c:pt>
                <c:pt idx="16">
                  <c:v>590</c:v>
                </c:pt>
                <c:pt idx="17">
                  <c:v>1725</c:v>
                </c:pt>
                <c:pt idx="18">
                  <c:v>0</c:v>
                </c:pt>
                <c:pt idx="19">
                  <c:v>0</c:v>
                </c:pt>
              </c:numCache>
            </c:numRef>
          </c:val>
          <c:extLst>
            <c:ext xmlns:c16="http://schemas.microsoft.com/office/drawing/2014/chart" uri="{C3380CC4-5D6E-409C-BE32-E72D297353CC}">
              <c16:uniqueId val="{00000002-6900-4780-9062-5F08B881C2D6}"/>
            </c:ext>
          </c:extLst>
        </c:ser>
        <c:dLbls>
          <c:showLegendKey val="0"/>
          <c:showVal val="0"/>
          <c:showCatName val="0"/>
          <c:showSerName val="0"/>
          <c:showPercent val="0"/>
          <c:showBubbleSize val="0"/>
        </c:dLbls>
        <c:gapWidth val="0"/>
        <c:axId val="1206300559"/>
        <c:axId val="1206298159"/>
      </c:barChart>
      <c:scatterChart>
        <c:scatterStyle val="lineMarker"/>
        <c:varyColors val="0"/>
        <c:ser>
          <c:idx val="1"/>
          <c:order val="1"/>
          <c:spPr>
            <a:ln w="28575">
              <a:noFill/>
            </a:ln>
          </c:spPr>
          <c:marker>
            <c:symbol val="none"/>
          </c:marker>
          <c:yVal>
            <c:numLit>
              <c:formatCode>General</c:formatCode>
              <c:ptCount val="2"/>
              <c:pt idx="0">
                <c:v>1</c:v>
              </c:pt>
              <c:pt idx="1">
                <c:v>2</c:v>
              </c:pt>
            </c:numLit>
          </c:yVal>
          <c:smooth val="0"/>
          <c:extLst>
            <c:ext xmlns:c16="http://schemas.microsoft.com/office/drawing/2014/chart" uri="{C3380CC4-5D6E-409C-BE32-E72D297353CC}">
              <c16:uniqueId val="{00000003-6900-4780-9062-5F08B881C2D6}"/>
            </c:ext>
          </c:extLst>
        </c:ser>
        <c:dLbls>
          <c:showLegendKey val="0"/>
          <c:showVal val="0"/>
          <c:showCatName val="0"/>
          <c:showSerName val="0"/>
          <c:showPercent val="0"/>
          <c:showBubbleSize val="0"/>
        </c:dLbls>
        <c:axId val="1206321679"/>
        <c:axId val="1206306319"/>
      </c:scatterChart>
      <c:catAx>
        <c:axId val="1206300559"/>
        <c:scaling>
          <c:orientation val="minMax"/>
        </c:scaling>
        <c:delete val="1"/>
        <c:axPos val="b"/>
        <c:numFmt formatCode="General" sourceLinked="1"/>
        <c:majorTickMark val="out"/>
        <c:minorTickMark val="none"/>
        <c:tickLblPos val="nextTo"/>
        <c:crossAx val="1206298159"/>
        <c:crosses val="autoZero"/>
        <c:auto val="1"/>
        <c:lblAlgn val="ctr"/>
        <c:lblOffset val="100"/>
        <c:noMultiLvlLbl val="0"/>
      </c:catAx>
      <c:valAx>
        <c:axId val="1206298159"/>
        <c:scaling>
          <c:orientation val="minMax"/>
        </c:scaling>
        <c:delete val="0"/>
        <c:axPos val="l"/>
        <c:title>
          <c:tx>
            <c:rich>
              <a:bodyPr/>
              <a:lstStyle/>
              <a:p>
                <a:pPr>
                  <a:defRPr b="0" i="0"/>
                </a:pPr>
                <a:r>
                  <a:rPr lang="en-US" b="0" i="0"/>
                  <a:t>Column Frequency</a:t>
                </a:r>
              </a:p>
            </c:rich>
          </c:tx>
          <c:overlay val="0"/>
        </c:title>
        <c:numFmt formatCode="General" sourceLinked="1"/>
        <c:majorTickMark val="out"/>
        <c:minorTickMark val="none"/>
        <c:tickLblPos val="nextTo"/>
        <c:spPr>
          <a:ln>
            <a:solidFill>
              <a:srgbClr val="000000"/>
            </a:solidFill>
            <a:prstDash val="solid"/>
          </a:ln>
        </c:spPr>
        <c:txPr>
          <a:bodyPr/>
          <a:lstStyle/>
          <a:p>
            <a:pPr>
              <a:defRPr sz="800" b="0" i="0"/>
            </a:pPr>
            <a:endParaRPr lang="en-US"/>
          </a:p>
        </c:txPr>
        <c:crossAx val="1206300559"/>
        <c:crosses val="autoZero"/>
        <c:crossBetween val="between"/>
      </c:valAx>
      <c:valAx>
        <c:axId val="1206306319"/>
        <c:scaling>
          <c:orientation val="minMax"/>
        </c:scaling>
        <c:delete val="1"/>
        <c:axPos val="r"/>
        <c:numFmt formatCode="General" sourceLinked="1"/>
        <c:majorTickMark val="out"/>
        <c:minorTickMark val="none"/>
        <c:tickLblPos val="nextTo"/>
        <c:crossAx val="1206321679"/>
        <c:crosses val="max"/>
        <c:crossBetween val="midCat"/>
      </c:valAx>
      <c:valAx>
        <c:axId val="1206321679"/>
        <c:scaling>
          <c:orientation val="minMax"/>
          <c:max val="20000"/>
          <c:min val="0"/>
        </c:scaling>
        <c:delete val="0"/>
        <c:axPos val="b"/>
        <c:title>
          <c:tx>
            <c:rich>
              <a:bodyPr/>
              <a:lstStyle/>
              <a:p>
                <a:pPr>
                  <a:defRPr b="0" i="0"/>
                </a:pPr>
                <a:r>
                  <a:rPr lang="en-US" b="0" i="0"/>
                  <a:t>Total Profit, Column Width = 1000</a:t>
                </a:r>
              </a:p>
            </c:rich>
          </c:tx>
          <c:overlay val="0"/>
        </c:title>
        <c:numFmt formatCode="General" sourceLinked="0"/>
        <c:majorTickMark val="out"/>
        <c:minorTickMark val="none"/>
        <c:tickLblPos val="nextTo"/>
        <c:spPr>
          <a:ln>
            <a:solidFill>
              <a:srgbClr val="000000"/>
            </a:solidFill>
            <a:prstDash val="solid"/>
          </a:ln>
        </c:spPr>
        <c:txPr>
          <a:bodyPr rot="0" vert="horz"/>
          <a:lstStyle/>
          <a:p>
            <a:pPr>
              <a:defRPr sz="800" b="0" i="0"/>
            </a:pPr>
            <a:endParaRPr lang="en-US"/>
          </a:p>
        </c:txPr>
        <c:crossAx val="1206306319"/>
        <c:crossesAt val="0"/>
        <c:crossBetween val="midCat"/>
        <c:majorUnit val="2000"/>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Qty</a:t>
            </a:r>
            <a:r>
              <a:rPr lang="en-US" baseline="0"/>
              <a:t> vs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'd.)'!$C$10:$C$19</c:f>
              <c:numCache>
                <c:formatCode>General</c:formatCode>
                <c:ptCount val="10"/>
                <c:pt idx="0">
                  <c:v>275</c:v>
                </c:pt>
                <c:pt idx="1">
                  <c:v>300</c:v>
                </c:pt>
                <c:pt idx="2">
                  <c:v>325</c:v>
                </c:pt>
                <c:pt idx="3">
                  <c:v>350</c:v>
                </c:pt>
                <c:pt idx="4">
                  <c:v>375</c:v>
                </c:pt>
                <c:pt idx="5">
                  <c:v>400</c:v>
                </c:pt>
                <c:pt idx="6">
                  <c:v>425</c:v>
                </c:pt>
                <c:pt idx="7">
                  <c:v>450</c:v>
                </c:pt>
                <c:pt idx="8">
                  <c:v>475</c:v>
                </c:pt>
                <c:pt idx="9">
                  <c:v>500</c:v>
                </c:pt>
              </c:numCache>
            </c:numRef>
          </c:xVal>
          <c:yVal>
            <c:numRef>
              <c:f>'d.)'!$D$10:$D$19</c:f>
              <c:numCache>
                <c:formatCode>General</c:formatCode>
                <c:ptCount val="10"/>
                <c:pt idx="0">
                  <c:v>14377.028612373939</c:v>
                </c:pt>
                <c:pt idx="1">
                  <c:v>14944.0058058624</c:v>
                </c:pt>
                <c:pt idx="2">
                  <c:v>15374.330949309386</c:v>
                </c:pt>
                <c:pt idx="3">
                  <c:v>15669.80227946778</c:v>
                </c:pt>
                <c:pt idx="4">
                  <c:v>15760.596831376737</c:v>
                </c:pt>
                <c:pt idx="5">
                  <c:v>15825.542789241739</c:v>
                </c:pt>
                <c:pt idx="6">
                  <c:v>15784.900981787699</c:v>
                </c:pt>
                <c:pt idx="7">
                  <c:v>15722.274471223605</c:v>
                </c:pt>
                <c:pt idx="8">
                  <c:v>15637.748241301009</c:v>
                </c:pt>
                <c:pt idx="9">
                  <c:v>15533.297398464296</c:v>
                </c:pt>
              </c:numCache>
            </c:numRef>
          </c:yVal>
          <c:smooth val="0"/>
          <c:extLst>
            <c:ext xmlns:c16="http://schemas.microsoft.com/office/drawing/2014/chart" uri="{C3380CC4-5D6E-409C-BE32-E72D297353CC}">
              <c16:uniqueId val="{00000000-1229-403A-8EDF-95495251C0D4}"/>
            </c:ext>
          </c:extLst>
        </c:ser>
        <c:dLbls>
          <c:showLegendKey val="0"/>
          <c:showVal val="0"/>
          <c:showCatName val="0"/>
          <c:showSerName val="0"/>
          <c:showPercent val="0"/>
          <c:showBubbleSize val="0"/>
        </c:dLbls>
        <c:axId val="1206260719"/>
        <c:axId val="1206263119"/>
      </c:scatterChart>
      <c:valAx>
        <c:axId val="1206260719"/>
        <c:scaling>
          <c:orientation val="minMax"/>
          <c:min val="2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263119"/>
        <c:crosses val="autoZero"/>
        <c:crossBetween val="midCat"/>
      </c:valAx>
      <c:valAx>
        <c:axId val="1206263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26071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a:pPr>
            <a:r>
              <a:rPr lang="en-US" sz="1000" b="1" i="0"/>
              <a:t>Not For Commercial Use</a:t>
            </a:r>
            <a:r>
              <a:rPr lang="en-US" sz="1000" b="0" i="0"/>
              <a:t>
SimVoi Student Version Histogram For 5000 Trials</a:t>
            </a:r>
          </a:p>
        </c:rich>
      </c:tx>
      <c:overlay val="0"/>
    </c:title>
    <c:autoTitleDeleted val="0"/>
    <c:plotArea>
      <c:layout/>
      <c:barChart>
        <c:barDir val="col"/>
        <c:grouping val="clustered"/>
        <c:varyColors val="0"/>
        <c:ser>
          <c:idx val="0"/>
          <c:order val="0"/>
          <c:spPr>
            <a:noFill/>
            <a:ln>
              <a:solidFill>
                <a:srgbClr val="000000"/>
              </a:solidFill>
              <a:prstDash val="solid"/>
            </a:ln>
          </c:spPr>
          <c:invertIfNegative val="0"/>
          <c:cat>
            <c:numRef>
              <c:f>'275order'!$E$32:$E$49</c:f>
              <c:numCache>
                <c:formatCode>General</c:formatCode>
                <c:ptCount val="18"/>
                <c:pt idx="0">
                  <c:v>1000</c:v>
                </c:pt>
                <c:pt idx="1">
                  <c:v>2000</c:v>
                </c:pt>
                <c:pt idx="2">
                  <c:v>3000</c:v>
                </c:pt>
                <c:pt idx="3">
                  <c:v>4000</c:v>
                </c:pt>
                <c:pt idx="4">
                  <c:v>5000</c:v>
                </c:pt>
                <c:pt idx="5">
                  <c:v>6000</c:v>
                </c:pt>
                <c:pt idx="6">
                  <c:v>7000</c:v>
                </c:pt>
                <c:pt idx="7">
                  <c:v>8000</c:v>
                </c:pt>
                <c:pt idx="8">
                  <c:v>9000</c:v>
                </c:pt>
                <c:pt idx="9">
                  <c:v>10000</c:v>
                </c:pt>
                <c:pt idx="10">
                  <c:v>11000</c:v>
                </c:pt>
                <c:pt idx="11">
                  <c:v>12000</c:v>
                </c:pt>
                <c:pt idx="12">
                  <c:v>13000</c:v>
                </c:pt>
                <c:pt idx="13">
                  <c:v>14000</c:v>
                </c:pt>
                <c:pt idx="14">
                  <c:v>15000</c:v>
                </c:pt>
                <c:pt idx="15">
                  <c:v>16000</c:v>
                </c:pt>
                <c:pt idx="16">
                  <c:v>17000</c:v>
                </c:pt>
                <c:pt idx="17">
                  <c:v>18000</c:v>
                </c:pt>
              </c:numCache>
            </c:numRef>
          </c:cat>
          <c:val>
            <c:numRef>
              <c:f>'275order'!$F$32:$F$49</c:f>
              <c:numCache>
                <c:formatCode>General</c:formatCode>
                <c:ptCount val="18"/>
                <c:pt idx="0">
                  <c:v>3</c:v>
                </c:pt>
                <c:pt idx="1">
                  <c:v>2</c:v>
                </c:pt>
                <c:pt idx="2">
                  <c:v>7</c:v>
                </c:pt>
                <c:pt idx="3">
                  <c:v>11</c:v>
                </c:pt>
                <c:pt idx="4">
                  <c:v>17</c:v>
                </c:pt>
                <c:pt idx="5">
                  <c:v>28</c:v>
                </c:pt>
                <c:pt idx="6">
                  <c:v>54</c:v>
                </c:pt>
                <c:pt idx="7">
                  <c:v>54</c:v>
                </c:pt>
                <c:pt idx="8">
                  <c:v>103</c:v>
                </c:pt>
                <c:pt idx="9">
                  <c:v>126</c:v>
                </c:pt>
                <c:pt idx="10">
                  <c:v>191</c:v>
                </c:pt>
                <c:pt idx="11">
                  <c:v>253</c:v>
                </c:pt>
                <c:pt idx="12">
                  <c:v>327</c:v>
                </c:pt>
                <c:pt idx="13">
                  <c:v>520</c:v>
                </c:pt>
                <c:pt idx="14">
                  <c:v>563</c:v>
                </c:pt>
                <c:pt idx="15">
                  <c:v>613</c:v>
                </c:pt>
                <c:pt idx="16">
                  <c:v>2128</c:v>
                </c:pt>
                <c:pt idx="17">
                  <c:v>0</c:v>
                </c:pt>
              </c:numCache>
            </c:numRef>
          </c:val>
          <c:extLst>
            <c:ext xmlns:c16="http://schemas.microsoft.com/office/drawing/2014/chart" uri="{C3380CC4-5D6E-409C-BE32-E72D297353CC}">
              <c16:uniqueId val="{00000002-2E69-4158-81E7-74EBB7CC5C65}"/>
            </c:ext>
          </c:extLst>
        </c:ser>
        <c:dLbls>
          <c:showLegendKey val="0"/>
          <c:showVal val="0"/>
          <c:showCatName val="0"/>
          <c:showSerName val="0"/>
          <c:showPercent val="0"/>
          <c:showBubbleSize val="0"/>
        </c:dLbls>
        <c:gapWidth val="0"/>
        <c:axId val="1206301039"/>
        <c:axId val="1206313039"/>
      </c:barChart>
      <c:scatterChart>
        <c:scatterStyle val="lineMarker"/>
        <c:varyColors val="0"/>
        <c:ser>
          <c:idx val="1"/>
          <c:order val="1"/>
          <c:spPr>
            <a:ln w="28575">
              <a:noFill/>
            </a:ln>
          </c:spPr>
          <c:marker>
            <c:symbol val="none"/>
          </c:marker>
          <c:yVal>
            <c:numLit>
              <c:formatCode>General</c:formatCode>
              <c:ptCount val="2"/>
              <c:pt idx="0">
                <c:v>1</c:v>
              </c:pt>
              <c:pt idx="1">
                <c:v>2</c:v>
              </c:pt>
            </c:numLit>
          </c:yVal>
          <c:smooth val="0"/>
          <c:extLst>
            <c:ext xmlns:c16="http://schemas.microsoft.com/office/drawing/2014/chart" uri="{C3380CC4-5D6E-409C-BE32-E72D297353CC}">
              <c16:uniqueId val="{00000003-2E69-4158-81E7-74EBB7CC5C65}"/>
            </c:ext>
          </c:extLst>
        </c:ser>
        <c:dLbls>
          <c:showLegendKey val="0"/>
          <c:showVal val="0"/>
          <c:showCatName val="0"/>
          <c:showSerName val="0"/>
          <c:showPercent val="0"/>
          <c:showBubbleSize val="0"/>
        </c:dLbls>
        <c:axId val="1206326959"/>
        <c:axId val="1206315919"/>
      </c:scatterChart>
      <c:catAx>
        <c:axId val="1206301039"/>
        <c:scaling>
          <c:orientation val="minMax"/>
        </c:scaling>
        <c:delete val="1"/>
        <c:axPos val="b"/>
        <c:numFmt formatCode="General" sourceLinked="1"/>
        <c:majorTickMark val="out"/>
        <c:minorTickMark val="none"/>
        <c:tickLblPos val="nextTo"/>
        <c:crossAx val="1206313039"/>
        <c:crosses val="autoZero"/>
        <c:auto val="1"/>
        <c:lblAlgn val="ctr"/>
        <c:lblOffset val="100"/>
        <c:noMultiLvlLbl val="0"/>
      </c:catAx>
      <c:valAx>
        <c:axId val="1206313039"/>
        <c:scaling>
          <c:orientation val="minMax"/>
        </c:scaling>
        <c:delete val="0"/>
        <c:axPos val="l"/>
        <c:title>
          <c:tx>
            <c:rich>
              <a:bodyPr/>
              <a:lstStyle/>
              <a:p>
                <a:pPr>
                  <a:defRPr b="0" i="0"/>
                </a:pPr>
                <a:r>
                  <a:rPr lang="en-US" b="0" i="0"/>
                  <a:t>Column Frequency</a:t>
                </a:r>
              </a:p>
            </c:rich>
          </c:tx>
          <c:overlay val="0"/>
        </c:title>
        <c:numFmt formatCode="General" sourceLinked="1"/>
        <c:majorTickMark val="out"/>
        <c:minorTickMark val="none"/>
        <c:tickLblPos val="nextTo"/>
        <c:spPr>
          <a:ln>
            <a:solidFill>
              <a:srgbClr val="000000"/>
            </a:solidFill>
            <a:prstDash val="solid"/>
          </a:ln>
        </c:spPr>
        <c:txPr>
          <a:bodyPr/>
          <a:lstStyle/>
          <a:p>
            <a:pPr>
              <a:defRPr sz="800" b="0" i="0"/>
            </a:pPr>
            <a:endParaRPr lang="en-US"/>
          </a:p>
        </c:txPr>
        <c:crossAx val="1206301039"/>
        <c:crosses val="autoZero"/>
        <c:crossBetween val="between"/>
      </c:valAx>
      <c:valAx>
        <c:axId val="1206315919"/>
        <c:scaling>
          <c:orientation val="minMax"/>
        </c:scaling>
        <c:delete val="1"/>
        <c:axPos val="r"/>
        <c:numFmt formatCode="General" sourceLinked="1"/>
        <c:majorTickMark val="out"/>
        <c:minorTickMark val="none"/>
        <c:tickLblPos val="nextTo"/>
        <c:crossAx val="1206326959"/>
        <c:crosses val="max"/>
        <c:crossBetween val="midCat"/>
      </c:valAx>
      <c:valAx>
        <c:axId val="1206326959"/>
        <c:scaling>
          <c:orientation val="minMax"/>
          <c:max val="18000"/>
          <c:min val="0"/>
        </c:scaling>
        <c:delete val="0"/>
        <c:axPos val="b"/>
        <c:title>
          <c:tx>
            <c:rich>
              <a:bodyPr/>
              <a:lstStyle/>
              <a:p>
                <a:pPr>
                  <a:defRPr b="0" i="0"/>
                </a:pPr>
                <a:r>
                  <a:rPr lang="en-US" b="0" i="0"/>
                  <a:t>Total Profit, Column Width = 1000</a:t>
                </a:r>
              </a:p>
            </c:rich>
          </c:tx>
          <c:overlay val="0"/>
        </c:title>
        <c:numFmt formatCode="General" sourceLinked="0"/>
        <c:majorTickMark val="out"/>
        <c:minorTickMark val="none"/>
        <c:tickLblPos val="nextTo"/>
        <c:spPr>
          <a:ln>
            <a:solidFill>
              <a:srgbClr val="000000"/>
            </a:solidFill>
            <a:prstDash val="solid"/>
          </a:ln>
        </c:spPr>
        <c:txPr>
          <a:bodyPr rot="0" vert="horz"/>
          <a:lstStyle/>
          <a:p>
            <a:pPr>
              <a:defRPr sz="800" b="0" i="0"/>
            </a:pPr>
            <a:endParaRPr lang="en-US"/>
          </a:p>
        </c:txPr>
        <c:crossAx val="1206315919"/>
        <c:crossesAt val="0"/>
        <c:crossBetween val="midCat"/>
        <c:majorUnit val="2000"/>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a:pPr>
            <a:r>
              <a:rPr lang="en-US" sz="1000" b="1" i="0"/>
              <a:t>Not For Commercial Use</a:t>
            </a:r>
            <a:r>
              <a:rPr lang="en-US" sz="1000" b="0" i="0"/>
              <a:t>
SimVoi Student Version Histogram For 5000 Trials</a:t>
            </a:r>
          </a:p>
        </c:rich>
      </c:tx>
      <c:overlay val="0"/>
    </c:title>
    <c:autoTitleDeleted val="0"/>
    <c:plotArea>
      <c:layout/>
      <c:barChart>
        <c:barDir val="col"/>
        <c:grouping val="clustered"/>
        <c:varyColors val="0"/>
        <c:ser>
          <c:idx val="0"/>
          <c:order val="0"/>
          <c:spPr>
            <a:noFill/>
            <a:ln>
              <a:solidFill>
                <a:srgbClr val="000000"/>
              </a:solidFill>
              <a:prstDash val="solid"/>
            </a:ln>
          </c:spPr>
          <c:invertIfNegative val="0"/>
          <c:cat>
            <c:numRef>
              <c:f>'300order'!$E$32:$E$53</c:f>
              <c:numCache>
                <c:formatCode>General</c:formatCode>
                <c:ptCount val="22"/>
                <c:pt idx="0">
                  <c:v>-1000</c:v>
                </c:pt>
                <c:pt idx="1">
                  <c:v>0</c:v>
                </c:pt>
                <c:pt idx="2">
                  <c:v>1000</c:v>
                </c:pt>
                <c:pt idx="3">
                  <c:v>2000</c:v>
                </c:pt>
                <c:pt idx="4">
                  <c:v>3000</c:v>
                </c:pt>
                <c:pt idx="5">
                  <c:v>4000</c:v>
                </c:pt>
                <c:pt idx="6">
                  <c:v>5000</c:v>
                </c:pt>
                <c:pt idx="7">
                  <c:v>6000</c:v>
                </c:pt>
                <c:pt idx="8">
                  <c:v>7000</c:v>
                </c:pt>
                <c:pt idx="9">
                  <c:v>8000</c:v>
                </c:pt>
                <c:pt idx="10">
                  <c:v>9000</c:v>
                </c:pt>
                <c:pt idx="11">
                  <c:v>10000</c:v>
                </c:pt>
                <c:pt idx="12">
                  <c:v>11000</c:v>
                </c:pt>
                <c:pt idx="13">
                  <c:v>12000</c:v>
                </c:pt>
                <c:pt idx="14">
                  <c:v>13000</c:v>
                </c:pt>
                <c:pt idx="15">
                  <c:v>14000</c:v>
                </c:pt>
                <c:pt idx="16">
                  <c:v>15000</c:v>
                </c:pt>
                <c:pt idx="17">
                  <c:v>16000</c:v>
                </c:pt>
                <c:pt idx="18">
                  <c:v>17000</c:v>
                </c:pt>
                <c:pt idx="19">
                  <c:v>18000</c:v>
                </c:pt>
                <c:pt idx="20">
                  <c:v>19000</c:v>
                </c:pt>
                <c:pt idx="21">
                  <c:v>20000</c:v>
                </c:pt>
              </c:numCache>
            </c:numRef>
          </c:cat>
          <c:val>
            <c:numRef>
              <c:f>'300order'!$F$32:$F$53</c:f>
              <c:numCache>
                <c:formatCode>General</c:formatCode>
                <c:ptCount val="22"/>
                <c:pt idx="0">
                  <c:v>0</c:v>
                </c:pt>
                <c:pt idx="1">
                  <c:v>2</c:v>
                </c:pt>
                <c:pt idx="2">
                  <c:v>1</c:v>
                </c:pt>
                <c:pt idx="3">
                  <c:v>6</c:v>
                </c:pt>
                <c:pt idx="4">
                  <c:v>3</c:v>
                </c:pt>
                <c:pt idx="5">
                  <c:v>10</c:v>
                </c:pt>
                <c:pt idx="6">
                  <c:v>22</c:v>
                </c:pt>
                <c:pt idx="7">
                  <c:v>29</c:v>
                </c:pt>
                <c:pt idx="8">
                  <c:v>46</c:v>
                </c:pt>
                <c:pt idx="9">
                  <c:v>74</c:v>
                </c:pt>
                <c:pt idx="10">
                  <c:v>95</c:v>
                </c:pt>
                <c:pt idx="11">
                  <c:v>132</c:v>
                </c:pt>
                <c:pt idx="12">
                  <c:v>197</c:v>
                </c:pt>
                <c:pt idx="13">
                  <c:v>234</c:v>
                </c:pt>
                <c:pt idx="14">
                  <c:v>335</c:v>
                </c:pt>
                <c:pt idx="15">
                  <c:v>385</c:v>
                </c:pt>
                <c:pt idx="16">
                  <c:v>532</c:v>
                </c:pt>
                <c:pt idx="17">
                  <c:v>572</c:v>
                </c:pt>
                <c:pt idx="18">
                  <c:v>575</c:v>
                </c:pt>
                <c:pt idx="19">
                  <c:v>1750</c:v>
                </c:pt>
                <c:pt idx="20">
                  <c:v>0</c:v>
                </c:pt>
                <c:pt idx="21">
                  <c:v>0</c:v>
                </c:pt>
              </c:numCache>
            </c:numRef>
          </c:val>
          <c:extLst>
            <c:ext xmlns:c16="http://schemas.microsoft.com/office/drawing/2014/chart" uri="{C3380CC4-5D6E-409C-BE32-E72D297353CC}">
              <c16:uniqueId val="{00000002-BE73-4143-81AD-E8128F75D414}"/>
            </c:ext>
          </c:extLst>
        </c:ser>
        <c:dLbls>
          <c:showLegendKey val="0"/>
          <c:showVal val="0"/>
          <c:showCatName val="0"/>
          <c:showSerName val="0"/>
          <c:showPercent val="0"/>
          <c:showBubbleSize val="0"/>
        </c:dLbls>
        <c:gapWidth val="0"/>
        <c:axId val="1206324079"/>
        <c:axId val="1206324559"/>
      </c:barChart>
      <c:scatterChart>
        <c:scatterStyle val="lineMarker"/>
        <c:varyColors val="0"/>
        <c:ser>
          <c:idx val="1"/>
          <c:order val="1"/>
          <c:spPr>
            <a:ln w="28575">
              <a:noFill/>
            </a:ln>
          </c:spPr>
          <c:marker>
            <c:symbol val="none"/>
          </c:marker>
          <c:yVal>
            <c:numLit>
              <c:formatCode>General</c:formatCode>
              <c:ptCount val="2"/>
              <c:pt idx="0">
                <c:v>1</c:v>
              </c:pt>
              <c:pt idx="1">
                <c:v>2</c:v>
              </c:pt>
            </c:numLit>
          </c:yVal>
          <c:smooth val="0"/>
          <c:extLst>
            <c:ext xmlns:c16="http://schemas.microsoft.com/office/drawing/2014/chart" uri="{C3380CC4-5D6E-409C-BE32-E72D297353CC}">
              <c16:uniqueId val="{00000003-BE73-4143-81AD-E8128F75D414}"/>
            </c:ext>
          </c:extLst>
        </c:ser>
        <c:dLbls>
          <c:showLegendKey val="0"/>
          <c:showVal val="0"/>
          <c:showCatName val="0"/>
          <c:showSerName val="0"/>
          <c:showPercent val="0"/>
          <c:showBubbleSize val="0"/>
        </c:dLbls>
        <c:axId val="1206347599"/>
        <c:axId val="1206326959"/>
      </c:scatterChart>
      <c:catAx>
        <c:axId val="1206324079"/>
        <c:scaling>
          <c:orientation val="minMax"/>
        </c:scaling>
        <c:delete val="1"/>
        <c:axPos val="b"/>
        <c:numFmt formatCode="General" sourceLinked="1"/>
        <c:majorTickMark val="out"/>
        <c:minorTickMark val="none"/>
        <c:tickLblPos val="nextTo"/>
        <c:crossAx val="1206324559"/>
        <c:crosses val="autoZero"/>
        <c:auto val="1"/>
        <c:lblAlgn val="ctr"/>
        <c:lblOffset val="100"/>
        <c:noMultiLvlLbl val="0"/>
      </c:catAx>
      <c:valAx>
        <c:axId val="1206324559"/>
        <c:scaling>
          <c:orientation val="minMax"/>
        </c:scaling>
        <c:delete val="0"/>
        <c:axPos val="l"/>
        <c:title>
          <c:tx>
            <c:rich>
              <a:bodyPr/>
              <a:lstStyle/>
              <a:p>
                <a:pPr>
                  <a:defRPr b="0" i="0"/>
                </a:pPr>
                <a:r>
                  <a:rPr lang="en-US" b="0" i="0"/>
                  <a:t>Column Frequency</a:t>
                </a:r>
              </a:p>
            </c:rich>
          </c:tx>
          <c:overlay val="0"/>
        </c:title>
        <c:numFmt formatCode="General" sourceLinked="1"/>
        <c:majorTickMark val="out"/>
        <c:minorTickMark val="none"/>
        <c:tickLblPos val="nextTo"/>
        <c:spPr>
          <a:ln>
            <a:solidFill>
              <a:srgbClr val="000000"/>
            </a:solidFill>
            <a:prstDash val="solid"/>
          </a:ln>
        </c:spPr>
        <c:txPr>
          <a:bodyPr/>
          <a:lstStyle/>
          <a:p>
            <a:pPr>
              <a:defRPr sz="800" b="0" i="0"/>
            </a:pPr>
            <a:endParaRPr lang="en-US"/>
          </a:p>
        </c:txPr>
        <c:crossAx val="1206324079"/>
        <c:crosses val="autoZero"/>
        <c:crossBetween val="between"/>
      </c:valAx>
      <c:valAx>
        <c:axId val="1206326959"/>
        <c:scaling>
          <c:orientation val="minMax"/>
        </c:scaling>
        <c:delete val="1"/>
        <c:axPos val="r"/>
        <c:numFmt formatCode="General" sourceLinked="1"/>
        <c:majorTickMark val="out"/>
        <c:minorTickMark val="none"/>
        <c:tickLblPos val="nextTo"/>
        <c:crossAx val="1206347599"/>
        <c:crosses val="max"/>
        <c:crossBetween val="midCat"/>
      </c:valAx>
      <c:valAx>
        <c:axId val="1206347599"/>
        <c:scaling>
          <c:orientation val="minMax"/>
          <c:max val="20000"/>
          <c:min val="-2000"/>
        </c:scaling>
        <c:delete val="0"/>
        <c:axPos val="b"/>
        <c:title>
          <c:tx>
            <c:rich>
              <a:bodyPr/>
              <a:lstStyle/>
              <a:p>
                <a:pPr>
                  <a:defRPr b="0" i="0"/>
                </a:pPr>
                <a:r>
                  <a:rPr lang="en-US" b="0" i="0"/>
                  <a:t>Total Profit, Column Width = 1000</a:t>
                </a:r>
              </a:p>
            </c:rich>
          </c:tx>
          <c:overlay val="0"/>
        </c:title>
        <c:numFmt formatCode="General" sourceLinked="0"/>
        <c:majorTickMark val="out"/>
        <c:minorTickMark val="none"/>
        <c:tickLblPos val="nextTo"/>
        <c:spPr>
          <a:ln>
            <a:solidFill>
              <a:srgbClr val="000000"/>
            </a:solidFill>
            <a:prstDash val="solid"/>
          </a:ln>
        </c:spPr>
        <c:txPr>
          <a:bodyPr rot="0" vert="horz"/>
          <a:lstStyle/>
          <a:p>
            <a:pPr>
              <a:defRPr sz="800" b="0" i="0"/>
            </a:pPr>
            <a:endParaRPr lang="en-US"/>
          </a:p>
        </c:txPr>
        <c:crossAx val="1206326959"/>
        <c:crossesAt val="0"/>
        <c:crossBetween val="midCat"/>
        <c:majorUnit val="2000"/>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a:pPr>
            <a:r>
              <a:rPr lang="en-US" sz="1000" b="1" i="0"/>
              <a:t>Not For Commercial Use</a:t>
            </a:r>
            <a:r>
              <a:rPr lang="en-US" sz="1000" b="0" i="0"/>
              <a:t>
SimVoi Student Version Histogram For 5000 Trials</a:t>
            </a:r>
          </a:p>
        </c:rich>
      </c:tx>
      <c:overlay val="0"/>
    </c:title>
    <c:autoTitleDeleted val="0"/>
    <c:plotArea>
      <c:layout/>
      <c:barChart>
        <c:barDir val="col"/>
        <c:grouping val="clustered"/>
        <c:varyColors val="0"/>
        <c:ser>
          <c:idx val="0"/>
          <c:order val="0"/>
          <c:spPr>
            <a:noFill/>
            <a:ln>
              <a:solidFill>
                <a:srgbClr val="000000"/>
              </a:solidFill>
              <a:prstDash val="solid"/>
            </a:ln>
          </c:spPr>
          <c:invertIfNegative val="0"/>
          <c:cat>
            <c:numRef>
              <c:f>'325order'!$E$32:$E$53</c:f>
              <c:numCache>
                <c:formatCode>General</c:formatCode>
                <c:ptCount val="22"/>
                <c:pt idx="0">
                  <c:v>-1000</c:v>
                </c:pt>
                <c:pt idx="1">
                  <c:v>0</c:v>
                </c:pt>
                <c:pt idx="2">
                  <c:v>1000</c:v>
                </c:pt>
                <c:pt idx="3">
                  <c:v>2000</c:v>
                </c:pt>
                <c:pt idx="4">
                  <c:v>3000</c:v>
                </c:pt>
                <c:pt idx="5">
                  <c:v>4000</c:v>
                </c:pt>
                <c:pt idx="6">
                  <c:v>5000</c:v>
                </c:pt>
                <c:pt idx="7">
                  <c:v>6000</c:v>
                </c:pt>
                <c:pt idx="8">
                  <c:v>7000</c:v>
                </c:pt>
                <c:pt idx="9">
                  <c:v>8000</c:v>
                </c:pt>
                <c:pt idx="10">
                  <c:v>9000</c:v>
                </c:pt>
                <c:pt idx="11">
                  <c:v>10000</c:v>
                </c:pt>
                <c:pt idx="12">
                  <c:v>11000</c:v>
                </c:pt>
                <c:pt idx="13">
                  <c:v>12000</c:v>
                </c:pt>
                <c:pt idx="14">
                  <c:v>13000</c:v>
                </c:pt>
                <c:pt idx="15">
                  <c:v>14000</c:v>
                </c:pt>
                <c:pt idx="16">
                  <c:v>15000</c:v>
                </c:pt>
                <c:pt idx="17">
                  <c:v>16000</c:v>
                </c:pt>
                <c:pt idx="18">
                  <c:v>17000</c:v>
                </c:pt>
                <c:pt idx="19">
                  <c:v>18000</c:v>
                </c:pt>
                <c:pt idx="20">
                  <c:v>19000</c:v>
                </c:pt>
                <c:pt idx="21">
                  <c:v>20000</c:v>
                </c:pt>
              </c:numCache>
            </c:numRef>
          </c:cat>
          <c:val>
            <c:numRef>
              <c:f>'325order'!$F$32:$F$53</c:f>
              <c:numCache>
                <c:formatCode>General</c:formatCode>
                <c:ptCount val="22"/>
                <c:pt idx="0">
                  <c:v>0</c:v>
                </c:pt>
                <c:pt idx="1">
                  <c:v>2</c:v>
                </c:pt>
                <c:pt idx="2">
                  <c:v>5</c:v>
                </c:pt>
                <c:pt idx="3">
                  <c:v>3</c:v>
                </c:pt>
                <c:pt idx="4">
                  <c:v>10</c:v>
                </c:pt>
                <c:pt idx="5">
                  <c:v>14</c:v>
                </c:pt>
                <c:pt idx="6">
                  <c:v>27</c:v>
                </c:pt>
                <c:pt idx="7">
                  <c:v>33</c:v>
                </c:pt>
                <c:pt idx="8">
                  <c:v>50</c:v>
                </c:pt>
                <c:pt idx="9">
                  <c:v>78</c:v>
                </c:pt>
                <c:pt idx="10">
                  <c:v>107</c:v>
                </c:pt>
                <c:pt idx="11">
                  <c:v>123</c:v>
                </c:pt>
                <c:pt idx="12">
                  <c:v>160</c:v>
                </c:pt>
                <c:pt idx="13">
                  <c:v>267</c:v>
                </c:pt>
                <c:pt idx="14">
                  <c:v>303</c:v>
                </c:pt>
                <c:pt idx="15">
                  <c:v>365</c:v>
                </c:pt>
                <c:pt idx="16">
                  <c:v>424</c:v>
                </c:pt>
                <c:pt idx="17">
                  <c:v>517</c:v>
                </c:pt>
                <c:pt idx="18">
                  <c:v>533</c:v>
                </c:pt>
                <c:pt idx="19">
                  <c:v>503</c:v>
                </c:pt>
                <c:pt idx="20">
                  <c:v>475</c:v>
                </c:pt>
                <c:pt idx="21">
                  <c:v>1001</c:v>
                </c:pt>
              </c:numCache>
            </c:numRef>
          </c:val>
          <c:extLst>
            <c:ext xmlns:c16="http://schemas.microsoft.com/office/drawing/2014/chart" uri="{C3380CC4-5D6E-409C-BE32-E72D297353CC}">
              <c16:uniqueId val="{00000002-0A28-4299-BEC5-15DCD44E7798}"/>
            </c:ext>
          </c:extLst>
        </c:ser>
        <c:dLbls>
          <c:showLegendKey val="0"/>
          <c:showVal val="0"/>
          <c:showCatName val="0"/>
          <c:showSerName val="0"/>
          <c:showPercent val="0"/>
          <c:showBubbleSize val="0"/>
        </c:dLbls>
        <c:gapWidth val="0"/>
        <c:axId val="1206347599"/>
        <c:axId val="1206357199"/>
      </c:barChart>
      <c:scatterChart>
        <c:scatterStyle val="lineMarker"/>
        <c:varyColors val="0"/>
        <c:ser>
          <c:idx val="1"/>
          <c:order val="1"/>
          <c:spPr>
            <a:ln w="28575">
              <a:noFill/>
            </a:ln>
          </c:spPr>
          <c:marker>
            <c:symbol val="none"/>
          </c:marker>
          <c:yVal>
            <c:numLit>
              <c:formatCode>General</c:formatCode>
              <c:ptCount val="2"/>
              <c:pt idx="0">
                <c:v>1</c:v>
              </c:pt>
              <c:pt idx="1">
                <c:v>2</c:v>
              </c:pt>
            </c:numLit>
          </c:yVal>
          <c:smooth val="0"/>
          <c:extLst>
            <c:ext xmlns:c16="http://schemas.microsoft.com/office/drawing/2014/chart" uri="{C3380CC4-5D6E-409C-BE32-E72D297353CC}">
              <c16:uniqueId val="{00000003-0A28-4299-BEC5-15DCD44E7798}"/>
            </c:ext>
          </c:extLst>
        </c:ser>
        <c:dLbls>
          <c:showLegendKey val="0"/>
          <c:showVal val="0"/>
          <c:showCatName val="0"/>
          <c:showSerName val="0"/>
          <c:showPercent val="0"/>
          <c:showBubbleSize val="0"/>
        </c:dLbls>
        <c:axId val="1206353839"/>
        <c:axId val="1206349039"/>
      </c:scatterChart>
      <c:catAx>
        <c:axId val="1206347599"/>
        <c:scaling>
          <c:orientation val="minMax"/>
        </c:scaling>
        <c:delete val="1"/>
        <c:axPos val="b"/>
        <c:numFmt formatCode="General" sourceLinked="1"/>
        <c:majorTickMark val="out"/>
        <c:minorTickMark val="none"/>
        <c:tickLblPos val="nextTo"/>
        <c:crossAx val="1206357199"/>
        <c:crosses val="autoZero"/>
        <c:auto val="1"/>
        <c:lblAlgn val="ctr"/>
        <c:lblOffset val="100"/>
        <c:noMultiLvlLbl val="0"/>
      </c:catAx>
      <c:valAx>
        <c:axId val="1206357199"/>
        <c:scaling>
          <c:orientation val="minMax"/>
        </c:scaling>
        <c:delete val="0"/>
        <c:axPos val="l"/>
        <c:title>
          <c:tx>
            <c:rich>
              <a:bodyPr/>
              <a:lstStyle/>
              <a:p>
                <a:pPr>
                  <a:defRPr b="0" i="0"/>
                </a:pPr>
                <a:r>
                  <a:rPr lang="en-US" b="0" i="0"/>
                  <a:t>Column Frequency</a:t>
                </a:r>
              </a:p>
            </c:rich>
          </c:tx>
          <c:overlay val="0"/>
        </c:title>
        <c:numFmt formatCode="General" sourceLinked="1"/>
        <c:majorTickMark val="out"/>
        <c:minorTickMark val="none"/>
        <c:tickLblPos val="nextTo"/>
        <c:spPr>
          <a:ln>
            <a:solidFill>
              <a:srgbClr val="000000"/>
            </a:solidFill>
            <a:prstDash val="solid"/>
          </a:ln>
        </c:spPr>
        <c:txPr>
          <a:bodyPr/>
          <a:lstStyle/>
          <a:p>
            <a:pPr>
              <a:defRPr sz="800" b="0" i="0"/>
            </a:pPr>
            <a:endParaRPr lang="en-US"/>
          </a:p>
        </c:txPr>
        <c:crossAx val="1206347599"/>
        <c:crosses val="autoZero"/>
        <c:crossBetween val="between"/>
      </c:valAx>
      <c:valAx>
        <c:axId val="1206349039"/>
        <c:scaling>
          <c:orientation val="minMax"/>
        </c:scaling>
        <c:delete val="1"/>
        <c:axPos val="r"/>
        <c:numFmt formatCode="General" sourceLinked="1"/>
        <c:majorTickMark val="out"/>
        <c:minorTickMark val="none"/>
        <c:tickLblPos val="nextTo"/>
        <c:crossAx val="1206353839"/>
        <c:crosses val="max"/>
        <c:crossBetween val="midCat"/>
      </c:valAx>
      <c:valAx>
        <c:axId val="1206353839"/>
        <c:scaling>
          <c:orientation val="minMax"/>
          <c:max val="20000"/>
          <c:min val="-2000"/>
        </c:scaling>
        <c:delete val="0"/>
        <c:axPos val="b"/>
        <c:title>
          <c:tx>
            <c:rich>
              <a:bodyPr/>
              <a:lstStyle/>
              <a:p>
                <a:pPr>
                  <a:defRPr b="0" i="0"/>
                </a:pPr>
                <a:r>
                  <a:rPr lang="en-US" b="0" i="0"/>
                  <a:t>Total Profit, Column Width = 1000</a:t>
                </a:r>
              </a:p>
            </c:rich>
          </c:tx>
          <c:overlay val="0"/>
        </c:title>
        <c:numFmt formatCode="General" sourceLinked="0"/>
        <c:majorTickMark val="out"/>
        <c:minorTickMark val="none"/>
        <c:tickLblPos val="nextTo"/>
        <c:spPr>
          <a:ln>
            <a:solidFill>
              <a:srgbClr val="000000"/>
            </a:solidFill>
            <a:prstDash val="solid"/>
          </a:ln>
        </c:spPr>
        <c:txPr>
          <a:bodyPr rot="0" vert="horz"/>
          <a:lstStyle/>
          <a:p>
            <a:pPr>
              <a:defRPr sz="800" b="0" i="0"/>
            </a:pPr>
            <a:endParaRPr lang="en-US"/>
          </a:p>
        </c:txPr>
        <c:crossAx val="1206349039"/>
        <c:crossesAt val="0"/>
        <c:crossBetween val="midCat"/>
        <c:majorUnit val="2000"/>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a:pPr>
            <a:r>
              <a:rPr lang="en-US" sz="1000" b="1" i="0"/>
              <a:t>Not For Commercial Use</a:t>
            </a:r>
            <a:r>
              <a:rPr lang="en-US" sz="1000" b="0" i="0"/>
              <a:t>
SimVoi Student Version Histogram For 5000 Trials</a:t>
            </a:r>
          </a:p>
        </c:rich>
      </c:tx>
      <c:overlay val="0"/>
    </c:title>
    <c:autoTitleDeleted val="0"/>
    <c:plotArea>
      <c:layout/>
      <c:barChart>
        <c:barDir val="col"/>
        <c:grouping val="clustered"/>
        <c:varyColors val="0"/>
        <c:ser>
          <c:idx val="0"/>
          <c:order val="0"/>
          <c:spPr>
            <a:noFill/>
            <a:ln>
              <a:solidFill>
                <a:srgbClr val="000000"/>
              </a:solidFill>
              <a:prstDash val="solid"/>
            </a:ln>
          </c:spPr>
          <c:invertIfNegative val="0"/>
          <c:cat>
            <c:numRef>
              <c:f>'350order'!$E$32:$E$57</c:f>
              <c:numCache>
                <c:formatCode>General</c:formatCode>
                <c:ptCount val="26"/>
                <c:pt idx="0">
                  <c:v>-3000</c:v>
                </c:pt>
                <c:pt idx="1">
                  <c:v>-2000</c:v>
                </c:pt>
                <c:pt idx="2">
                  <c:v>-1000</c:v>
                </c:pt>
                <c:pt idx="3">
                  <c:v>0</c:v>
                </c:pt>
                <c:pt idx="4">
                  <c:v>1000</c:v>
                </c:pt>
                <c:pt idx="5">
                  <c:v>2000</c:v>
                </c:pt>
                <c:pt idx="6">
                  <c:v>3000</c:v>
                </c:pt>
                <c:pt idx="7">
                  <c:v>4000</c:v>
                </c:pt>
                <c:pt idx="8">
                  <c:v>5000</c:v>
                </c:pt>
                <c:pt idx="9">
                  <c:v>6000</c:v>
                </c:pt>
                <c:pt idx="10">
                  <c:v>7000</c:v>
                </c:pt>
                <c:pt idx="11">
                  <c:v>8000</c:v>
                </c:pt>
                <c:pt idx="12">
                  <c:v>9000</c:v>
                </c:pt>
                <c:pt idx="13">
                  <c:v>10000</c:v>
                </c:pt>
                <c:pt idx="14">
                  <c:v>11000</c:v>
                </c:pt>
                <c:pt idx="15">
                  <c:v>12000</c:v>
                </c:pt>
                <c:pt idx="16">
                  <c:v>13000</c:v>
                </c:pt>
                <c:pt idx="17">
                  <c:v>14000</c:v>
                </c:pt>
                <c:pt idx="18">
                  <c:v>15000</c:v>
                </c:pt>
                <c:pt idx="19">
                  <c:v>16000</c:v>
                </c:pt>
                <c:pt idx="20">
                  <c:v>17000</c:v>
                </c:pt>
                <c:pt idx="21">
                  <c:v>18000</c:v>
                </c:pt>
                <c:pt idx="22">
                  <c:v>19000</c:v>
                </c:pt>
                <c:pt idx="23">
                  <c:v>20000</c:v>
                </c:pt>
                <c:pt idx="24">
                  <c:v>21000</c:v>
                </c:pt>
                <c:pt idx="25">
                  <c:v>22000</c:v>
                </c:pt>
              </c:numCache>
            </c:numRef>
          </c:cat>
          <c:val>
            <c:numRef>
              <c:f>'350order'!$F$32:$F$57</c:f>
              <c:numCache>
                <c:formatCode>General</c:formatCode>
                <c:ptCount val="26"/>
                <c:pt idx="0">
                  <c:v>1</c:v>
                </c:pt>
                <c:pt idx="1">
                  <c:v>0</c:v>
                </c:pt>
                <c:pt idx="2">
                  <c:v>0</c:v>
                </c:pt>
                <c:pt idx="3">
                  <c:v>1</c:v>
                </c:pt>
                <c:pt idx="4">
                  <c:v>5</c:v>
                </c:pt>
                <c:pt idx="5">
                  <c:v>6</c:v>
                </c:pt>
                <c:pt idx="6">
                  <c:v>9</c:v>
                </c:pt>
                <c:pt idx="7">
                  <c:v>15</c:v>
                </c:pt>
                <c:pt idx="8">
                  <c:v>21</c:v>
                </c:pt>
                <c:pt idx="9">
                  <c:v>40</c:v>
                </c:pt>
                <c:pt idx="10">
                  <c:v>50</c:v>
                </c:pt>
                <c:pt idx="11">
                  <c:v>83</c:v>
                </c:pt>
                <c:pt idx="12">
                  <c:v>104</c:v>
                </c:pt>
                <c:pt idx="13">
                  <c:v>144</c:v>
                </c:pt>
                <c:pt idx="14">
                  <c:v>169</c:v>
                </c:pt>
                <c:pt idx="15">
                  <c:v>281</c:v>
                </c:pt>
                <c:pt idx="16">
                  <c:v>299</c:v>
                </c:pt>
                <c:pt idx="17">
                  <c:v>335</c:v>
                </c:pt>
                <c:pt idx="18">
                  <c:v>388</c:v>
                </c:pt>
                <c:pt idx="19">
                  <c:v>416</c:v>
                </c:pt>
                <c:pt idx="20">
                  <c:v>466</c:v>
                </c:pt>
                <c:pt idx="21">
                  <c:v>504</c:v>
                </c:pt>
                <c:pt idx="22">
                  <c:v>526</c:v>
                </c:pt>
                <c:pt idx="23">
                  <c:v>396</c:v>
                </c:pt>
                <c:pt idx="24">
                  <c:v>741</c:v>
                </c:pt>
                <c:pt idx="25">
                  <c:v>0</c:v>
                </c:pt>
              </c:numCache>
            </c:numRef>
          </c:val>
          <c:extLst>
            <c:ext xmlns:c16="http://schemas.microsoft.com/office/drawing/2014/chart" uri="{C3380CC4-5D6E-409C-BE32-E72D297353CC}">
              <c16:uniqueId val="{00000002-26B1-43B6-AEC3-0729DE2ED840}"/>
            </c:ext>
          </c:extLst>
        </c:ser>
        <c:dLbls>
          <c:showLegendKey val="0"/>
          <c:showVal val="0"/>
          <c:showCatName val="0"/>
          <c:showSerName val="0"/>
          <c:showPercent val="0"/>
          <c:showBubbleSize val="0"/>
        </c:dLbls>
        <c:gapWidth val="0"/>
        <c:axId val="1206353839"/>
        <c:axId val="1206354319"/>
      </c:barChart>
      <c:scatterChart>
        <c:scatterStyle val="lineMarker"/>
        <c:varyColors val="0"/>
        <c:ser>
          <c:idx val="1"/>
          <c:order val="1"/>
          <c:spPr>
            <a:ln w="28575">
              <a:noFill/>
            </a:ln>
          </c:spPr>
          <c:marker>
            <c:symbol val="none"/>
          </c:marker>
          <c:yVal>
            <c:numLit>
              <c:formatCode>General</c:formatCode>
              <c:ptCount val="2"/>
              <c:pt idx="0">
                <c:v>1</c:v>
              </c:pt>
              <c:pt idx="1">
                <c:v>2</c:v>
              </c:pt>
            </c:numLit>
          </c:yVal>
          <c:smooth val="0"/>
          <c:extLst>
            <c:ext xmlns:c16="http://schemas.microsoft.com/office/drawing/2014/chart" uri="{C3380CC4-5D6E-409C-BE32-E72D297353CC}">
              <c16:uniqueId val="{00000003-26B1-43B6-AEC3-0729DE2ED840}"/>
            </c:ext>
          </c:extLst>
        </c:ser>
        <c:dLbls>
          <c:showLegendKey val="0"/>
          <c:showVal val="0"/>
          <c:showCatName val="0"/>
          <c:showSerName val="0"/>
          <c:showPercent val="0"/>
          <c:showBubbleSize val="0"/>
        </c:dLbls>
        <c:axId val="1206361519"/>
        <c:axId val="1206361039"/>
      </c:scatterChart>
      <c:catAx>
        <c:axId val="1206353839"/>
        <c:scaling>
          <c:orientation val="minMax"/>
        </c:scaling>
        <c:delete val="1"/>
        <c:axPos val="b"/>
        <c:numFmt formatCode="General" sourceLinked="1"/>
        <c:majorTickMark val="out"/>
        <c:minorTickMark val="none"/>
        <c:tickLblPos val="nextTo"/>
        <c:crossAx val="1206354319"/>
        <c:crosses val="autoZero"/>
        <c:auto val="1"/>
        <c:lblAlgn val="ctr"/>
        <c:lblOffset val="100"/>
        <c:noMultiLvlLbl val="0"/>
      </c:catAx>
      <c:valAx>
        <c:axId val="1206354319"/>
        <c:scaling>
          <c:orientation val="minMax"/>
        </c:scaling>
        <c:delete val="0"/>
        <c:axPos val="l"/>
        <c:title>
          <c:tx>
            <c:rich>
              <a:bodyPr/>
              <a:lstStyle/>
              <a:p>
                <a:pPr>
                  <a:defRPr b="0" i="0"/>
                </a:pPr>
                <a:r>
                  <a:rPr lang="en-US" b="0" i="0"/>
                  <a:t>Column Frequency</a:t>
                </a:r>
              </a:p>
            </c:rich>
          </c:tx>
          <c:overlay val="0"/>
        </c:title>
        <c:numFmt formatCode="General" sourceLinked="1"/>
        <c:majorTickMark val="out"/>
        <c:minorTickMark val="none"/>
        <c:tickLblPos val="nextTo"/>
        <c:spPr>
          <a:ln>
            <a:solidFill>
              <a:srgbClr val="000000"/>
            </a:solidFill>
            <a:prstDash val="solid"/>
          </a:ln>
        </c:spPr>
        <c:txPr>
          <a:bodyPr/>
          <a:lstStyle/>
          <a:p>
            <a:pPr>
              <a:defRPr sz="800" b="0" i="0"/>
            </a:pPr>
            <a:endParaRPr lang="en-US"/>
          </a:p>
        </c:txPr>
        <c:crossAx val="1206353839"/>
        <c:crosses val="autoZero"/>
        <c:crossBetween val="between"/>
      </c:valAx>
      <c:valAx>
        <c:axId val="1206361039"/>
        <c:scaling>
          <c:orientation val="minMax"/>
        </c:scaling>
        <c:delete val="1"/>
        <c:axPos val="r"/>
        <c:numFmt formatCode="General" sourceLinked="1"/>
        <c:majorTickMark val="out"/>
        <c:minorTickMark val="none"/>
        <c:tickLblPos val="nextTo"/>
        <c:crossAx val="1206361519"/>
        <c:crosses val="max"/>
        <c:crossBetween val="midCat"/>
      </c:valAx>
      <c:valAx>
        <c:axId val="1206361519"/>
        <c:scaling>
          <c:orientation val="minMax"/>
          <c:max val="22000"/>
          <c:min val="-4000"/>
        </c:scaling>
        <c:delete val="0"/>
        <c:axPos val="b"/>
        <c:title>
          <c:tx>
            <c:rich>
              <a:bodyPr/>
              <a:lstStyle/>
              <a:p>
                <a:pPr>
                  <a:defRPr b="0" i="0"/>
                </a:pPr>
                <a:r>
                  <a:rPr lang="en-US" b="0" i="0"/>
                  <a:t>Total Profit, Column Width = 1000</a:t>
                </a:r>
              </a:p>
            </c:rich>
          </c:tx>
          <c:overlay val="0"/>
        </c:title>
        <c:numFmt formatCode="General" sourceLinked="0"/>
        <c:majorTickMark val="out"/>
        <c:minorTickMark val="none"/>
        <c:tickLblPos val="nextTo"/>
        <c:spPr>
          <a:ln>
            <a:solidFill>
              <a:srgbClr val="000000"/>
            </a:solidFill>
            <a:prstDash val="solid"/>
          </a:ln>
        </c:spPr>
        <c:txPr>
          <a:bodyPr rot="0" vert="horz"/>
          <a:lstStyle/>
          <a:p>
            <a:pPr>
              <a:defRPr sz="800" b="0" i="0"/>
            </a:pPr>
            <a:endParaRPr lang="en-US"/>
          </a:p>
        </c:txPr>
        <c:crossAx val="1206361039"/>
        <c:crossesAt val="0"/>
        <c:crossBetween val="midCat"/>
        <c:majorUnit val="2000"/>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a:pPr>
            <a:r>
              <a:rPr lang="en-US" sz="1000" b="1" i="0"/>
              <a:t>Not For Commercial Use</a:t>
            </a:r>
            <a:r>
              <a:rPr lang="en-US" sz="1000" b="0" i="0"/>
              <a:t>
SimVoi Student Version Histogram For 5000 Trials</a:t>
            </a:r>
          </a:p>
        </c:rich>
      </c:tx>
      <c:overlay val="0"/>
    </c:title>
    <c:autoTitleDeleted val="0"/>
    <c:plotArea>
      <c:layout/>
      <c:barChart>
        <c:barDir val="col"/>
        <c:grouping val="clustered"/>
        <c:varyColors val="0"/>
        <c:ser>
          <c:idx val="0"/>
          <c:order val="0"/>
          <c:spPr>
            <a:noFill/>
            <a:ln>
              <a:solidFill>
                <a:srgbClr val="000000"/>
              </a:solidFill>
              <a:prstDash val="solid"/>
            </a:ln>
          </c:spPr>
          <c:invertIfNegative val="0"/>
          <c:cat>
            <c:numRef>
              <c:f>'375order'!$E$32:$E$57</c:f>
              <c:numCache>
                <c:formatCode>General</c:formatCode>
                <c:ptCount val="26"/>
                <c:pt idx="0">
                  <c:v>-1000</c:v>
                </c:pt>
                <c:pt idx="1">
                  <c:v>0</c:v>
                </c:pt>
                <c:pt idx="2">
                  <c:v>1000</c:v>
                </c:pt>
                <c:pt idx="3">
                  <c:v>2000</c:v>
                </c:pt>
                <c:pt idx="4">
                  <c:v>3000</c:v>
                </c:pt>
                <c:pt idx="5">
                  <c:v>4000</c:v>
                </c:pt>
                <c:pt idx="6">
                  <c:v>5000</c:v>
                </c:pt>
                <c:pt idx="7">
                  <c:v>6000</c:v>
                </c:pt>
                <c:pt idx="8">
                  <c:v>7000</c:v>
                </c:pt>
                <c:pt idx="9">
                  <c:v>8000</c:v>
                </c:pt>
                <c:pt idx="10">
                  <c:v>9000</c:v>
                </c:pt>
                <c:pt idx="11">
                  <c:v>10000</c:v>
                </c:pt>
                <c:pt idx="12">
                  <c:v>11000</c:v>
                </c:pt>
                <c:pt idx="13">
                  <c:v>12000</c:v>
                </c:pt>
                <c:pt idx="14">
                  <c:v>13000</c:v>
                </c:pt>
                <c:pt idx="15">
                  <c:v>14000</c:v>
                </c:pt>
                <c:pt idx="16">
                  <c:v>15000</c:v>
                </c:pt>
                <c:pt idx="17">
                  <c:v>16000</c:v>
                </c:pt>
                <c:pt idx="18">
                  <c:v>17000</c:v>
                </c:pt>
                <c:pt idx="19">
                  <c:v>18000</c:v>
                </c:pt>
                <c:pt idx="20">
                  <c:v>19000</c:v>
                </c:pt>
                <c:pt idx="21">
                  <c:v>20000</c:v>
                </c:pt>
                <c:pt idx="22">
                  <c:v>21000</c:v>
                </c:pt>
                <c:pt idx="23">
                  <c:v>22000</c:v>
                </c:pt>
                <c:pt idx="24">
                  <c:v>23000</c:v>
                </c:pt>
                <c:pt idx="25">
                  <c:v>24000</c:v>
                </c:pt>
              </c:numCache>
            </c:numRef>
          </c:cat>
          <c:val>
            <c:numRef>
              <c:f>'375order'!$F$32:$F$57</c:f>
              <c:numCache>
                <c:formatCode>General</c:formatCode>
                <c:ptCount val="26"/>
                <c:pt idx="0">
                  <c:v>1</c:v>
                </c:pt>
                <c:pt idx="1">
                  <c:v>0</c:v>
                </c:pt>
                <c:pt idx="2">
                  <c:v>0</c:v>
                </c:pt>
                <c:pt idx="3">
                  <c:v>4</c:v>
                </c:pt>
                <c:pt idx="4">
                  <c:v>7</c:v>
                </c:pt>
                <c:pt idx="5">
                  <c:v>19</c:v>
                </c:pt>
                <c:pt idx="6">
                  <c:v>26</c:v>
                </c:pt>
                <c:pt idx="7">
                  <c:v>40</c:v>
                </c:pt>
                <c:pt idx="8">
                  <c:v>62</c:v>
                </c:pt>
                <c:pt idx="9">
                  <c:v>81</c:v>
                </c:pt>
                <c:pt idx="10">
                  <c:v>130</c:v>
                </c:pt>
                <c:pt idx="11">
                  <c:v>166</c:v>
                </c:pt>
                <c:pt idx="12">
                  <c:v>206</c:v>
                </c:pt>
                <c:pt idx="13">
                  <c:v>286</c:v>
                </c:pt>
                <c:pt idx="14">
                  <c:v>303</c:v>
                </c:pt>
                <c:pt idx="15">
                  <c:v>368</c:v>
                </c:pt>
                <c:pt idx="16">
                  <c:v>347</c:v>
                </c:pt>
                <c:pt idx="17">
                  <c:v>388</c:v>
                </c:pt>
                <c:pt idx="18">
                  <c:v>379</c:v>
                </c:pt>
                <c:pt idx="19">
                  <c:v>386</c:v>
                </c:pt>
                <c:pt idx="20">
                  <c:v>479</c:v>
                </c:pt>
                <c:pt idx="21">
                  <c:v>396</c:v>
                </c:pt>
                <c:pt idx="22">
                  <c:v>365</c:v>
                </c:pt>
                <c:pt idx="23">
                  <c:v>242</c:v>
                </c:pt>
                <c:pt idx="24">
                  <c:v>319</c:v>
                </c:pt>
                <c:pt idx="25">
                  <c:v>0</c:v>
                </c:pt>
              </c:numCache>
            </c:numRef>
          </c:val>
          <c:extLst>
            <c:ext xmlns:c16="http://schemas.microsoft.com/office/drawing/2014/chart" uri="{C3380CC4-5D6E-409C-BE32-E72D297353CC}">
              <c16:uniqueId val="{00000002-E4BA-444F-BF0D-3580AB21F957}"/>
            </c:ext>
          </c:extLst>
        </c:ser>
        <c:dLbls>
          <c:showLegendKey val="0"/>
          <c:showVal val="0"/>
          <c:showCatName val="0"/>
          <c:showSerName val="0"/>
          <c:showPercent val="0"/>
          <c:showBubbleSize val="0"/>
        </c:dLbls>
        <c:gapWidth val="0"/>
        <c:axId val="1206239119"/>
        <c:axId val="1206252559"/>
      </c:barChart>
      <c:scatterChart>
        <c:scatterStyle val="lineMarker"/>
        <c:varyColors val="0"/>
        <c:ser>
          <c:idx val="1"/>
          <c:order val="1"/>
          <c:spPr>
            <a:ln w="28575">
              <a:noFill/>
            </a:ln>
          </c:spPr>
          <c:marker>
            <c:symbol val="none"/>
          </c:marker>
          <c:yVal>
            <c:numLit>
              <c:formatCode>General</c:formatCode>
              <c:ptCount val="2"/>
              <c:pt idx="0">
                <c:v>1</c:v>
              </c:pt>
              <c:pt idx="1">
                <c:v>2</c:v>
              </c:pt>
            </c:numLit>
          </c:yVal>
          <c:smooth val="0"/>
          <c:extLst>
            <c:ext xmlns:c16="http://schemas.microsoft.com/office/drawing/2014/chart" uri="{C3380CC4-5D6E-409C-BE32-E72D297353CC}">
              <c16:uniqueId val="{00000003-E4BA-444F-BF0D-3580AB21F957}"/>
            </c:ext>
          </c:extLst>
        </c:ser>
        <c:dLbls>
          <c:showLegendKey val="0"/>
          <c:showVal val="0"/>
          <c:showCatName val="0"/>
          <c:showSerName val="0"/>
          <c:showPercent val="0"/>
          <c:showBubbleSize val="0"/>
        </c:dLbls>
        <c:axId val="1206255439"/>
        <c:axId val="1206252079"/>
      </c:scatterChart>
      <c:catAx>
        <c:axId val="1206239119"/>
        <c:scaling>
          <c:orientation val="minMax"/>
        </c:scaling>
        <c:delete val="1"/>
        <c:axPos val="b"/>
        <c:numFmt formatCode="General" sourceLinked="1"/>
        <c:majorTickMark val="out"/>
        <c:minorTickMark val="none"/>
        <c:tickLblPos val="nextTo"/>
        <c:crossAx val="1206252559"/>
        <c:crosses val="autoZero"/>
        <c:auto val="1"/>
        <c:lblAlgn val="ctr"/>
        <c:lblOffset val="100"/>
        <c:noMultiLvlLbl val="0"/>
      </c:catAx>
      <c:valAx>
        <c:axId val="1206252559"/>
        <c:scaling>
          <c:orientation val="minMax"/>
        </c:scaling>
        <c:delete val="0"/>
        <c:axPos val="l"/>
        <c:title>
          <c:tx>
            <c:rich>
              <a:bodyPr/>
              <a:lstStyle/>
              <a:p>
                <a:pPr>
                  <a:defRPr b="0" i="0"/>
                </a:pPr>
                <a:r>
                  <a:rPr lang="en-US" b="0" i="0"/>
                  <a:t>Column Frequency</a:t>
                </a:r>
              </a:p>
            </c:rich>
          </c:tx>
          <c:overlay val="0"/>
        </c:title>
        <c:numFmt formatCode="General" sourceLinked="1"/>
        <c:majorTickMark val="out"/>
        <c:minorTickMark val="none"/>
        <c:tickLblPos val="nextTo"/>
        <c:spPr>
          <a:ln>
            <a:solidFill>
              <a:srgbClr val="000000"/>
            </a:solidFill>
            <a:prstDash val="solid"/>
          </a:ln>
        </c:spPr>
        <c:txPr>
          <a:bodyPr/>
          <a:lstStyle/>
          <a:p>
            <a:pPr>
              <a:defRPr sz="800" b="0" i="0"/>
            </a:pPr>
            <a:endParaRPr lang="en-US"/>
          </a:p>
        </c:txPr>
        <c:crossAx val="1206239119"/>
        <c:crosses val="autoZero"/>
        <c:crossBetween val="between"/>
      </c:valAx>
      <c:valAx>
        <c:axId val="1206252079"/>
        <c:scaling>
          <c:orientation val="minMax"/>
        </c:scaling>
        <c:delete val="1"/>
        <c:axPos val="r"/>
        <c:numFmt formatCode="General" sourceLinked="1"/>
        <c:majorTickMark val="out"/>
        <c:minorTickMark val="none"/>
        <c:tickLblPos val="nextTo"/>
        <c:crossAx val="1206255439"/>
        <c:crosses val="max"/>
        <c:crossBetween val="midCat"/>
      </c:valAx>
      <c:valAx>
        <c:axId val="1206255439"/>
        <c:scaling>
          <c:orientation val="minMax"/>
          <c:max val="24000"/>
          <c:min val="-2000"/>
        </c:scaling>
        <c:delete val="0"/>
        <c:axPos val="b"/>
        <c:title>
          <c:tx>
            <c:rich>
              <a:bodyPr/>
              <a:lstStyle/>
              <a:p>
                <a:pPr>
                  <a:defRPr b="0" i="0"/>
                </a:pPr>
                <a:r>
                  <a:rPr lang="en-US" b="0" i="0"/>
                  <a:t>Total Profit, Column Width = 1000</a:t>
                </a:r>
              </a:p>
            </c:rich>
          </c:tx>
          <c:overlay val="0"/>
        </c:title>
        <c:numFmt formatCode="General" sourceLinked="0"/>
        <c:majorTickMark val="out"/>
        <c:minorTickMark val="none"/>
        <c:tickLblPos val="nextTo"/>
        <c:spPr>
          <a:ln>
            <a:solidFill>
              <a:srgbClr val="000000"/>
            </a:solidFill>
            <a:prstDash val="solid"/>
          </a:ln>
        </c:spPr>
        <c:txPr>
          <a:bodyPr rot="0" vert="horz"/>
          <a:lstStyle/>
          <a:p>
            <a:pPr>
              <a:defRPr sz="800" b="0" i="0"/>
            </a:pPr>
            <a:endParaRPr lang="en-US"/>
          </a:p>
        </c:txPr>
        <c:crossAx val="1206252079"/>
        <c:crossesAt val="0"/>
        <c:crossBetween val="midCat"/>
        <c:majorUnit val="2000"/>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a:pPr>
            <a:r>
              <a:rPr lang="en-US" sz="1000" b="1" i="0"/>
              <a:t>Not For Commercial Use</a:t>
            </a:r>
            <a:r>
              <a:rPr lang="en-US" sz="1000" b="0" i="0"/>
              <a:t>
SimVoi Student Version Histogram For 5000 Trials</a:t>
            </a:r>
          </a:p>
        </c:rich>
      </c:tx>
      <c:overlay val="0"/>
    </c:title>
    <c:autoTitleDeleted val="0"/>
    <c:plotArea>
      <c:layout/>
      <c:barChart>
        <c:barDir val="col"/>
        <c:grouping val="clustered"/>
        <c:varyColors val="0"/>
        <c:ser>
          <c:idx val="0"/>
          <c:order val="0"/>
          <c:spPr>
            <a:noFill/>
            <a:ln>
              <a:solidFill>
                <a:srgbClr val="000000"/>
              </a:solidFill>
              <a:prstDash val="solid"/>
            </a:ln>
          </c:spPr>
          <c:invertIfNegative val="0"/>
          <c:cat>
            <c:numRef>
              <c:f>'400order'!$E$32:$E$57</c:f>
              <c:numCache>
                <c:formatCode>General</c:formatCode>
                <c:ptCount val="26"/>
                <c:pt idx="0">
                  <c:v>1000</c:v>
                </c:pt>
                <c:pt idx="1">
                  <c:v>2000</c:v>
                </c:pt>
                <c:pt idx="2">
                  <c:v>3000</c:v>
                </c:pt>
                <c:pt idx="3">
                  <c:v>4000</c:v>
                </c:pt>
                <c:pt idx="4">
                  <c:v>5000</c:v>
                </c:pt>
                <c:pt idx="5">
                  <c:v>6000</c:v>
                </c:pt>
                <c:pt idx="6">
                  <c:v>7000</c:v>
                </c:pt>
                <c:pt idx="7">
                  <c:v>8000</c:v>
                </c:pt>
                <c:pt idx="8">
                  <c:v>9000</c:v>
                </c:pt>
                <c:pt idx="9">
                  <c:v>10000</c:v>
                </c:pt>
                <c:pt idx="10">
                  <c:v>11000</c:v>
                </c:pt>
                <c:pt idx="11">
                  <c:v>12000</c:v>
                </c:pt>
                <c:pt idx="12">
                  <c:v>13000</c:v>
                </c:pt>
                <c:pt idx="13">
                  <c:v>14000</c:v>
                </c:pt>
                <c:pt idx="14">
                  <c:v>15000</c:v>
                </c:pt>
                <c:pt idx="15">
                  <c:v>16000</c:v>
                </c:pt>
                <c:pt idx="16">
                  <c:v>17000</c:v>
                </c:pt>
                <c:pt idx="17">
                  <c:v>18000</c:v>
                </c:pt>
                <c:pt idx="18">
                  <c:v>19000</c:v>
                </c:pt>
                <c:pt idx="19">
                  <c:v>20000</c:v>
                </c:pt>
                <c:pt idx="20">
                  <c:v>21000</c:v>
                </c:pt>
                <c:pt idx="21">
                  <c:v>22000</c:v>
                </c:pt>
                <c:pt idx="22">
                  <c:v>23000</c:v>
                </c:pt>
                <c:pt idx="23">
                  <c:v>24000</c:v>
                </c:pt>
                <c:pt idx="24">
                  <c:v>25000</c:v>
                </c:pt>
                <c:pt idx="25">
                  <c:v>26000</c:v>
                </c:pt>
              </c:numCache>
            </c:numRef>
          </c:cat>
          <c:val>
            <c:numRef>
              <c:f>'400order'!$F$32:$F$57</c:f>
              <c:numCache>
                <c:formatCode>General</c:formatCode>
                <c:ptCount val="26"/>
                <c:pt idx="0">
                  <c:v>3</c:v>
                </c:pt>
                <c:pt idx="1">
                  <c:v>7</c:v>
                </c:pt>
                <c:pt idx="2">
                  <c:v>16</c:v>
                </c:pt>
                <c:pt idx="3">
                  <c:v>15</c:v>
                </c:pt>
                <c:pt idx="4">
                  <c:v>25</c:v>
                </c:pt>
                <c:pt idx="5">
                  <c:v>39</c:v>
                </c:pt>
                <c:pt idx="6">
                  <c:v>59</c:v>
                </c:pt>
                <c:pt idx="7">
                  <c:v>92</c:v>
                </c:pt>
                <c:pt idx="8">
                  <c:v>118</c:v>
                </c:pt>
                <c:pt idx="9">
                  <c:v>151</c:v>
                </c:pt>
                <c:pt idx="10">
                  <c:v>216</c:v>
                </c:pt>
                <c:pt idx="11">
                  <c:v>279</c:v>
                </c:pt>
                <c:pt idx="12">
                  <c:v>287</c:v>
                </c:pt>
                <c:pt idx="13">
                  <c:v>355</c:v>
                </c:pt>
                <c:pt idx="14">
                  <c:v>409</c:v>
                </c:pt>
                <c:pt idx="15">
                  <c:v>397</c:v>
                </c:pt>
                <c:pt idx="16">
                  <c:v>409</c:v>
                </c:pt>
                <c:pt idx="17">
                  <c:v>416</c:v>
                </c:pt>
                <c:pt idx="18">
                  <c:v>369</c:v>
                </c:pt>
                <c:pt idx="19">
                  <c:v>368</c:v>
                </c:pt>
                <c:pt idx="20">
                  <c:v>313</c:v>
                </c:pt>
                <c:pt idx="21">
                  <c:v>249</c:v>
                </c:pt>
                <c:pt idx="22">
                  <c:v>187</c:v>
                </c:pt>
                <c:pt idx="23">
                  <c:v>221</c:v>
                </c:pt>
                <c:pt idx="24">
                  <c:v>0</c:v>
                </c:pt>
                <c:pt idx="25">
                  <c:v>0</c:v>
                </c:pt>
              </c:numCache>
            </c:numRef>
          </c:val>
          <c:extLst>
            <c:ext xmlns:c16="http://schemas.microsoft.com/office/drawing/2014/chart" uri="{C3380CC4-5D6E-409C-BE32-E72D297353CC}">
              <c16:uniqueId val="{00000002-5956-4590-9C11-7ACD22337F09}"/>
            </c:ext>
          </c:extLst>
        </c:ser>
        <c:dLbls>
          <c:showLegendKey val="0"/>
          <c:showVal val="0"/>
          <c:showCatName val="0"/>
          <c:showSerName val="0"/>
          <c:showPercent val="0"/>
          <c:showBubbleSize val="0"/>
        </c:dLbls>
        <c:gapWidth val="0"/>
        <c:axId val="1206356239"/>
        <c:axId val="1206359599"/>
      </c:barChart>
      <c:scatterChart>
        <c:scatterStyle val="lineMarker"/>
        <c:varyColors val="0"/>
        <c:ser>
          <c:idx val="1"/>
          <c:order val="1"/>
          <c:spPr>
            <a:ln w="28575">
              <a:noFill/>
            </a:ln>
          </c:spPr>
          <c:marker>
            <c:symbol val="none"/>
          </c:marker>
          <c:yVal>
            <c:numLit>
              <c:formatCode>General</c:formatCode>
              <c:ptCount val="2"/>
              <c:pt idx="0">
                <c:v>1</c:v>
              </c:pt>
              <c:pt idx="1">
                <c:v>2</c:v>
              </c:pt>
            </c:numLit>
          </c:yVal>
          <c:smooth val="0"/>
          <c:extLst>
            <c:ext xmlns:c16="http://schemas.microsoft.com/office/drawing/2014/chart" uri="{C3380CC4-5D6E-409C-BE32-E72D297353CC}">
              <c16:uniqueId val="{00000003-5956-4590-9C11-7ACD22337F09}"/>
            </c:ext>
          </c:extLst>
        </c:ser>
        <c:dLbls>
          <c:showLegendKey val="0"/>
          <c:showVal val="0"/>
          <c:showCatName val="0"/>
          <c:showSerName val="0"/>
          <c:showPercent val="0"/>
          <c:showBubbleSize val="0"/>
        </c:dLbls>
        <c:axId val="1206360559"/>
        <c:axId val="1206365359"/>
      </c:scatterChart>
      <c:catAx>
        <c:axId val="1206356239"/>
        <c:scaling>
          <c:orientation val="minMax"/>
        </c:scaling>
        <c:delete val="1"/>
        <c:axPos val="b"/>
        <c:numFmt formatCode="General" sourceLinked="1"/>
        <c:majorTickMark val="out"/>
        <c:minorTickMark val="none"/>
        <c:tickLblPos val="nextTo"/>
        <c:crossAx val="1206359599"/>
        <c:crosses val="autoZero"/>
        <c:auto val="1"/>
        <c:lblAlgn val="ctr"/>
        <c:lblOffset val="100"/>
        <c:noMultiLvlLbl val="0"/>
      </c:catAx>
      <c:valAx>
        <c:axId val="1206359599"/>
        <c:scaling>
          <c:orientation val="minMax"/>
        </c:scaling>
        <c:delete val="0"/>
        <c:axPos val="l"/>
        <c:title>
          <c:tx>
            <c:rich>
              <a:bodyPr/>
              <a:lstStyle/>
              <a:p>
                <a:pPr>
                  <a:defRPr b="0" i="0"/>
                </a:pPr>
                <a:r>
                  <a:rPr lang="en-US" b="0" i="0"/>
                  <a:t>Column Frequency</a:t>
                </a:r>
              </a:p>
            </c:rich>
          </c:tx>
          <c:overlay val="0"/>
        </c:title>
        <c:numFmt formatCode="General" sourceLinked="1"/>
        <c:majorTickMark val="out"/>
        <c:minorTickMark val="none"/>
        <c:tickLblPos val="nextTo"/>
        <c:spPr>
          <a:ln>
            <a:solidFill>
              <a:srgbClr val="000000"/>
            </a:solidFill>
            <a:prstDash val="solid"/>
          </a:ln>
        </c:spPr>
        <c:txPr>
          <a:bodyPr/>
          <a:lstStyle/>
          <a:p>
            <a:pPr>
              <a:defRPr sz="800" b="0" i="0"/>
            </a:pPr>
            <a:endParaRPr lang="en-US"/>
          </a:p>
        </c:txPr>
        <c:crossAx val="1206356239"/>
        <c:crosses val="autoZero"/>
        <c:crossBetween val="between"/>
      </c:valAx>
      <c:valAx>
        <c:axId val="1206365359"/>
        <c:scaling>
          <c:orientation val="minMax"/>
        </c:scaling>
        <c:delete val="1"/>
        <c:axPos val="r"/>
        <c:numFmt formatCode="General" sourceLinked="1"/>
        <c:majorTickMark val="out"/>
        <c:minorTickMark val="none"/>
        <c:tickLblPos val="nextTo"/>
        <c:crossAx val="1206360559"/>
        <c:crosses val="max"/>
        <c:crossBetween val="midCat"/>
      </c:valAx>
      <c:valAx>
        <c:axId val="1206360559"/>
        <c:scaling>
          <c:orientation val="minMax"/>
          <c:max val="26000"/>
          <c:min val="0"/>
        </c:scaling>
        <c:delete val="0"/>
        <c:axPos val="b"/>
        <c:title>
          <c:tx>
            <c:rich>
              <a:bodyPr/>
              <a:lstStyle/>
              <a:p>
                <a:pPr>
                  <a:defRPr b="0" i="0"/>
                </a:pPr>
                <a:r>
                  <a:rPr lang="en-US" b="0" i="0"/>
                  <a:t>Total Profit, Column Width = 1000</a:t>
                </a:r>
              </a:p>
            </c:rich>
          </c:tx>
          <c:overlay val="0"/>
        </c:title>
        <c:numFmt formatCode="General" sourceLinked="0"/>
        <c:majorTickMark val="out"/>
        <c:minorTickMark val="none"/>
        <c:tickLblPos val="nextTo"/>
        <c:spPr>
          <a:ln>
            <a:solidFill>
              <a:srgbClr val="000000"/>
            </a:solidFill>
            <a:prstDash val="solid"/>
          </a:ln>
        </c:spPr>
        <c:txPr>
          <a:bodyPr rot="0" vert="horz"/>
          <a:lstStyle/>
          <a:p>
            <a:pPr>
              <a:defRPr sz="800" b="0" i="0"/>
            </a:pPr>
            <a:endParaRPr lang="en-US"/>
          </a:p>
        </c:txPr>
        <c:crossAx val="1206365359"/>
        <c:crossesAt val="0"/>
        <c:crossBetween val="midCat"/>
        <c:majorUnit val="2000"/>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a:pPr>
            <a:r>
              <a:rPr lang="en-US" sz="1000" b="1" i="0"/>
              <a:t>Not For Commercial Use</a:t>
            </a:r>
            <a:r>
              <a:rPr lang="en-US" sz="1000" b="0" i="0"/>
              <a:t>
SimVoi Student Version Histogram For 5000 Trials</a:t>
            </a:r>
          </a:p>
        </c:rich>
      </c:tx>
      <c:overlay val="0"/>
    </c:title>
    <c:autoTitleDeleted val="0"/>
    <c:plotArea>
      <c:layout/>
      <c:barChart>
        <c:barDir val="col"/>
        <c:grouping val="clustered"/>
        <c:varyColors val="0"/>
        <c:ser>
          <c:idx val="0"/>
          <c:order val="0"/>
          <c:spPr>
            <a:noFill/>
            <a:ln>
              <a:solidFill>
                <a:srgbClr val="000000"/>
              </a:solidFill>
              <a:prstDash val="solid"/>
            </a:ln>
          </c:spPr>
          <c:invertIfNegative val="0"/>
          <c:cat>
            <c:numRef>
              <c:f>'425order'!$E$32:$E$45</c:f>
              <c:numCache>
                <c:formatCode>General</c:formatCode>
                <c:ptCount val="14"/>
                <c:pt idx="0">
                  <c:v>-2500</c:v>
                </c:pt>
                <c:pt idx="1">
                  <c:v>0</c:v>
                </c:pt>
                <c:pt idx="2">
                  <c:v>2500</c:v>
                </c:pt>
                <c:pt idx="3">
                  <c:v>5000</c:v>
                </c:pt>
                <c:pt idx="4">
                  <c:v>7500</c:v>
                </c:pt>
                <c:pt idx="5">
                  <c:v>10000</c:v>
                </c:pt>
                <c:pt idx="6">
                  <c:v>12500</c:v>
                </c:pt>
                <c:pt idx="7">
                  <c:v>15000</c:v>
                </c:pt>
                <c:pt idx="8">
                  <c:v>17500</c:v>
                </c:pt>
                <c:pt idx="9">
                  <c:v>20000</c:v>
                </c:pt>
                <c:pt idx="10">
                  <c:v>22500</c:v>
                </c:pt>
                <c:pt idx="11">
                  <c:v>25000</c:v>
                </c:pt>
                <c:pt idx="12">
                  <c:v>27500</c:v>
                </c:pt>
                <c:pt idx="13">
                  <c:v>30000</c:v>
                </c:pt>
              </c:numCache>
            </c:numRef>
          </c:cat>
          <c:val>
            <c:numRef>
              <c:f>'425order'!$F$32:$F$45</c:f>
              <c:numCache>
                <c:formatCode>General</c:formatCode>
                <c:ptCount val="14"/>
                <c:pt idx="0">
                  <c:v>0</c:v>
                </c:pt>
                <c:pt idx="1">
                  <c:v>3</c:v>
                </c:pt>
                <c:pt idx="2">
                  <c:v>19</c:v>
                </c:pt>
                <c:pt idx="3">
                  <c:v>44</c:v>
                </c:pt>
                <c:pt idx="4">
                  <c:v>149</c:v>
                </c:pt>
                <c:pt idx="5">
                  <c:v>350</c:v>
                </c:pt>
                <c:pt idx="6">
                  <c:v>650</c:v>
                </c:pt>
                <c:pt idx="7">
                  <c:v>895</c:v>
                </c:pt>
                <c:pt idx="8">
                  <c:v>1056</c:v>
                </c:pt>
                <c:pt idx="9">
                  <c:v>866</c:v>
                </c:pt>
                <c:pt idx="10">
                  <c:v>608</c:v>
                </c:pt>
                <c:pt idx="11">
                  <c:v>282</c:v>
                </c:pt>
                <c:pt idx="12">
                  <c:v>78</c:v>
                </c:pt>
                <c:pt idx="13">
                  <c:v>0</c:v>
                </c:pt>
              </c:numCache>
            </c:numRef>
          </c:val>
          <c:extLst>
            <c:ext xmlns:c16="http://schemas.microsoft.com/office/drawing/2014/chart" uri="{C3380CC4-5D6E-409C-BE32-E72D297353CC}">
              <c16:uniqueId val="{00000002-D83D-4B0C-B310-7511D6439FD8}"/>
            </c:ext>
          </c:extLst>
        </c:ser>
        <c:dLbls>
          <c:showLegendKey val="0"/>
          <c:showVal val="0"/>
          <c:showCatName val="0"/>
          <c:showSerName val="0"/>
          <c:showPercent val="0"/>
          <c:showBubbleSize val="0"/>
        </c:dLbls>
        <c:gapWidth val="0"/>
        <c:axId val="1206264559"/>
        <c:axId val="1206256879"/>
      </c:barChart>
      <c:scatterChart>
        <c:scatterStyle val="lineMarker"/>
        <c:varyColors val="0"/>
        <c:ser>
          <c:idx val="1"/>
          <c:order val="1"/>
          <c:spPr>
            <a:ln w="28575">
              <a:noFill/>
            </a:ln>
          </c:spPr>
          <c:marker>
            <c:symbol val="none"/>
          </c:marker>
          <c:yVal>
            <c:numLit>
              <c:formatCode>General</c:formatCode>
              <c:ptCount val="2"/>
              <c:pt idx="0">
                <c:v>1</c:v>
              </c:pt>
              <c:pt idx="1">
                <c:v>2</c:v>
              </c:pt>
            </c:numLit>
          </c:yVal>
          <c:smooth val="0"/>
          <c:extLst>
            <c:ext xmlns:c16="http://schemas.microsoft.com/office/drawing/2014/chart" uri="{C3380CC4-5D6E-409C-BE32-E72D297353CC}">
              <c16:uniqueId val="{00000003-D83D-4B0C-B310-7511D6439FD8}"/>
            </c:ext>
          </c:extLst>
        </c:ser>
        <c:dLbls>
          <c:showLegendKey val="0"/>
          <c:showVal val="0"/>
          <c:showCatName val="0"/>
          <c:showSerName val="0"/>
          <c:showPercent val="0"/>
          <c:showBubbleSize val="0"/>
        </c:dLbls>
        <c:axId val="1206260239"/>
        <c:axId val="1206265519"/>
      </c:scatterChart>
      <c:catAx>
        <c:axId val="1206264559"/>
        <c:scaling>
          <c:orientation val="minMax"/>
        </c:scaling>
        <c:delete val="1"/>
        <c:axPos val="b"/>
        <c:numFmt formatCode="General" sourceLinked="1"/>
        <c:majorTickMark val="out"/>
        <c:minorTickMark val="none"/>
        <c:tickLblPos val="nextTo"/>
        <c:crossAx val="1206256879"/>
        <c:crosses val="autoZero"/>
        <c:auto val="1"/>
        <c:lblAlgn val="ctr"/>
        <c:lblOffset val="100"/>
        <c:noMultiLvlLbl val="0"/>
      </c:catAx>
      <c:valAx>
        <c:axId val="1206256879"/>
        <c:scaling>
          <c:orientation val="minMax"/>
        </c:scaling>
        <c:delete val="0"/>
        <c:axPos val="l"/>
        <c:title>
          <c:tx>
            <c:rich>
              <a:bodyPr/>
              <a:lstStyle/>
              <a:p>
                <a:pPr>
                  <a:defRPr b="0" i="0"/>
                </a:pPr>
                <a:r>
                  <a:rPr lang="en-US" b="0" i="0"/>
                  <a:t>Column Frequency</a:t>
                </a:r>
              </a:p>
            </c:rich>
          </c:tx>
          <c:overlay val="0"/>
        </c:title>
        <c:numFmt formatCode="General" sourceLinked="1"/>
        <c:majorTickMark val="out"/>
        <c:minorTickMark val="none"/>
        <c:tickLblPos val="nextTo"/>
        <c:spPr>
          <a:ln>
            <a:solidFill>
              <a:srgbClr val="000000"/>
            </a:solidFill>
            <a:prstDash val="solid"/>
          </a:ln>
        </c:spPr>
        <c:txPr>
          <a:bodyPr/>
          <a:lstStyle/>
          <a:p>
            <a:pPr>
              <a:defRPr sz="800" b="0" i="0"/>
            </a:pPr>
            <a:endParaRPr lang="en-US"/>
          </a:p>
        </c:txPr>
        <c:crossAx val="1206264559"/>
        <c:crosses val="autoZero"/>
        <c:crossBetween val="between"/>
      </c:valAx>
      <c:valAx>
        <c:axId val="1206265519"/>
        <c:scaling>
          <c:orientation val="minMax"/>
        </c:scaling>
        <c:delete val="1"/>
        <c:axPos val="r"/>
        <c:numFmt formatCode="General" sourceLinked="1"/>
        <c:majorTickMark val="out"/>
        <c:minorTickMark val="none"/>
        <c:tickLblPos val="nextTo"/>
        <c:crossAx val="1206260239"/>
        <c:crosses val="max"/>
        <c:crossBetween val="midCat"/>
      </c:valAx>
      <c:valAx>
        <c:axId val="1206260239"/>
        <c:scaling>
          <c:orientation val="minMax"/>
          <c:max val="30000"/>
          <c:min val="-5000"/>
        </c:scaling>
        <c:delete val="0"/>
        <c:axPos val="b"/>
        <c:title>
          <c:tx>
            <c:rich>
              <a:bodyPr/>
              <a:lstStyle/>
              <a:p>
                <a:pPr>
                  <a:defRPr b="0" i="0"/>
                </a:pPr>
                <a:r>
                  <a:rPr lang="en-US" b="0" i="0"/>
                  <a:t>Total Profit, Column Width = 2500</a:t>
                </a:r>
              </a:p>
            </c:rich>
          </c:tx>
          <c:overlay val="0"/>
        </c:title>
        <c:numFmt formatCode="General" sourceLinked="0"/>
        <c:majorTickMark val="out"/>
        <c:minorTickMark val="none"/>
        <c:tickLblPos val="nextTo"/>
        <c:spPr>
          <a:ln>
            <a:solidFill>
              <a:srgbClr val="000000"/>
            </a:solidFill>
            <a:prstDash val="solid"/>
          </a:ln>
        </c:spPr>
        <c:txPr>
          <a:bodyPr rot="0" vert="horz"/>
          <a:lstStyle/>
          <a:p>
            <a:pPr>
              <a:defRPr sz="800" b="0" i="0"/>
            </a:pPr>
            <a:endParaRPr lang="en-US"/>
          </a:p>
        </c:txPr>
        <c:crossAx val="1206265519"/>
        <c:crossesAt val="0"/>
        <c:crossBetween val="midCat"/>
        <c:majorUnit val="5000"/>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a:pPr>
            <a:r>
              <a:rPr lang="en-US" sz="1000" b="1" i="0"/>
              <a:t>Not For Commercial Use</a:t>
            </a:r>
            <a:r>
              <a:rPr lang="en-US" sz="1000" b="0" i="0"/>
              <a:t>
SimVoi Student Version Histogram For 5000 Trials</a:t>
            </a:r>
          </a:p>
        </c:rich>
      </c:tx>
      <c:overlay val="0"/>
    </c:title>
    <c:autoTitleDeleted val="0"/>
    <c:plotArea>
      <c:layout/>
      <c:barChart>
        <c:barDir val="col"/>
        <c:grouping val="clustered"/>
        <c:varyColors val="0"/>
        <c:ser>
          <c:idx val="0"/>
          <c:order val="0"/>
          <c:spPr>
            <a:noFill/>
            <a:ln>
              <a:solidFill>
                <a:srgbClr val="000000"/>
              </a:solidFill>
              <a:prstDash val="solid"/>
            </a:ln>
          </c:spPr>
          <c:invertIfNegative val="0"/>
          <c:cat>
            <c:numRef>
              <c:f>'450order'!$E$32:$E$45</c:f>
              <c:numCache>
                <c:formatCode>General</c:formatCode>
                <c:ptCount val="14"/>
                <c:pt idx="0">
                  <c:v>-2500</c:v>
                </c:pt>
                <c:pt idx="1">
                  <c:v>0</c:v>
                </c:pt>
                <c:pt idx="2">
                  <c:v>2500</c:v>
                </c:pt>
                <c:pt idx="3">
                  <c:v>5000</c:v>
                </c:pt>
                <c:pt idx="4">
                  <c:v>7500</c:v>
                </c:pt>
                <c:pt idx="5">
                  <c:v>10000</c:v>
                </c:pt>
                <c:pt idx="6">
                  <c:v>12500</c:v>
                </c:pt>
                <c:pt idx="7">
                  <c:v>15000</c:v>
                </c:pt>
                <c:pt idx="8">
                  <c:v>17500</c:v>
                </c:pt>
                <c:pt idx="9">
                  <c:v>20000</c:v>
                </c:pt>
                <c:pt idx="10">
                  <c:v>22500</c:v>
                </c:pt>
                <c:pt idx="11">
                  <c:v>25000</c:v>
                </c:pt>
                <c:pt idx="12">
                  <c:v>27500</c:v>
                </c:pt>
                <c:pt idx="13">
                  <c:v>30000</c:v>
                </c:pt>
              </c:numCache>
            </c:numRef>
          </c:cat>
          <c:val>
            <c:numRef>
              <c:f>'450order'!$F$32:$F$45</c:f>
              <c:numCache>
                <c:formatCode>General</c:formatCode>
                <c:ptCount val="14"/>
                <c:pt idx="0">
                  <c:v>1</c:v>
                </c:pt>
                <c:pt idx="1">
                  <c:v>2</c:v>
                </c:pt>
                <c:pt idx="2">
                  <c:v>12</c:v>
                </c:pt>
                <c:pt idx="3">
                  <c:v>58</c:v>
                </c:pt>
                <c:pt idx="4">
                  <c:v>150</c:v>
                </c:pt>
                <c:pt idx="5">
                  <c:v>356</c:v>
                </c:pt>
                <c:pt idx="6">
                  <c:v>705</c:v>
                </c:pt>
                <c:pt idx="7">
                  <c:v>883</c:v>
                </c:pt>
                <c:pt idx="8">
                  <c:v>1022</c:v>
                </c:pt>
                <c:pt idx="9">
                  <c:v>849</c:v>
                </c:pt>
                <c:pt idx="10">
                  <c:v>566</c:v>
                </c:pt>
                <c:pt idx="11">
                  <c:v>309</c:v>
                </c:pt>
                <c:pt idx="12">
                  <c:v>87</c:v>
                </c:pt>
                <c:pt idx="13">
                  <c:v>0</c:v>
                </c:pt>
              </c:numCache>
            </c:numRef>
          </c:val>
          <c:extLst>
            <c:ext xmlns:c16="http://schemas.microsoft.com/office/drawing/2014/chart" uri="{C3380CC4-5D6E-409C-BE32-E72D297353CC}">
              <c16:uniqueId val="{00000002-C4B7-4330-BE59-BCE69FB547B9}"/>
            </c:ext>
          </c:extLst>
        </c:ser>
        <c:dLbls>
          <c:showLegendKey val="0"/>
          <c:showVal val="0"/>
          <c:showCatName val="0"/>
          <c:showSerName val="0"/>
          <c:showPercent val="0"/>
          <c:showBubbleSize val="0"/>
        </c:dLbls>
        <c:gapWidth val="0"/>
        <c:axId val="1206236719"/>
        <c:axId val="1206251119"/>
      </c:barChart>
      <c:scatterChart>
        <c:scatterStyle val="lineMarker"/>
        <c:varyColors val="0"/>
        <c:ser>
          <c:idx val="1"/>
          <c:order val="1"/>
          <c:spPr>
            <a:ln w="28575">
              <a:noFill/>
            </a:ln>
          </c:spPr>
          <c:marker>
            <c:symbol val="none"/>
          </c:marker>
          <c:yVal>
            <c:numLit>
              <c:formatCode>General</c:formatCode>
              <c:ptCount val="2"/>
              <c:pt idx="0">
                <c:v>1</c:v>
              </c:pt>
              <c:pt idx="1">
                <c:v>2</c:v>
              </c:pt>
            </c:numLit>
          </c:yVal>
          <c:smooth val="0"/>
          <c:extLst>
            <c:ext xmlns:c16="http://schemas.microsoft.com/office/drawing/2014/chart" uri="{C3380CC4-5D6E-409C-BE32-E72D297353CC}">
              <c16:uniqueId val="{00000003-C4B7-4330-BE59-BCE69FB547B9}"/>
            </c:ext>
          </c:extLst>
        </c:ser>
        <c:dLbls>
          <c:showLegendKey val="0"/>
          <c:showVal val="0"/>
          <c:showCatName val="0"/>
          <c:showSerName val="0"/>
          <c:showPercent val="0"/>
          <c:showBubbleSize val="0"/>
        </c:dLbls>
        <c:axId val="1206247759"/>
        <c:axId val="1206237679"/>
      </c:scatterChart>
      <c:catAx>
        <c:axId val="1206236719"/>
        <c:scaling>
          <c:orientation val="minMax"/>
        </c:scaling>
        <c:delete val="1"/>
        <c:axPos val="b"/>
        <c:numFmt formatCode="General" sourceLinked="1"/>
        <c:majorTickMark val="out"/>
        <c:minorTickMark val="none"/>
        <c:tickLblPos val="nextTo"/>
        <c:crossAx val="1206251119"/>
        <c:crosses val="autoZero"/>
        <c:auto val="1"/>
        <c:lblAlgn val="ctr"/>
        <c:lblOffset val="100"/>
        <c:noMultiLvlLbl val="0"/>
      </c:catAx>
      <c:valAx>
        <c:axId val="1206251119"/>
        <c:scaling>
          <c:orientation val="minMax"/>
        </c:scaling>
        <c:delete val="0"/>
        <c:axPos val="l"/>
        <c:title>
          <c:tx>
            <c:rich>
              <a:bodyPr/>
              <a:lstStyle/>
              <a:p>
                <a:pPr>
                  <a:defRPr b="0" i="0"/>
                </a:pPr>
                <a:r>
                  <a:rPr lang="en-US" b="0" i="0"/>
                  <a:t>Column Frequency</a:t>
                </a:r>
              </a:p>
            </c:rich>
          </c:tx>
          <c:overlay val="0"/>
        </c:title>
        <c:numFmt formatCode="General" sourceLinked="1"/>
        <c:majorTickMark val="out"/>
        <c:minorTickMark val="none"/>
        <c:tickLblPos val="nextTo"/>
        <c:spPr>
          <a:ln>
            <a:solidFill>
              <a:srgbClr val="000000"/>
            </a:solidFill>
            <a:prstDash val="solid"/>
          </a:ln>
        </c:spPr>
        <c:txPr>
          <a:bodyPr/>
          <a:lstStyle/>
          <a:p>
            <a:pPr>
              <a:defRPr sz="800" b="0" i="0"/>
            </a:pPr>
            <a:endParaRPr lang="en-US"/>
          </a:p>
        </c:txPr>
        <c:crossAx val="1206236719"/>
        <c:crosses val="autoZero"/>
        <c:crossBetween val="between"/>
      </c:valAx>
      <c:valAx>
        <c:axId val="1206237679"/>
        <c:scaling>
          <c:orientation val="minMax"/>
        </c:scaling>
        <c:delete val="1"/>
        <c:axPos val="r"/>
        <c:numFmt formatCode="General" sourceLinked="1"/>
        <c:majorTickMark val="out"/>
        <c:minorTickMark val="none"/>
        <c:tickLblPos val="nextTo"/>
        <c:crossAx val="1206247759"/>
        <c:crosses val="max"/>
        <c:crossBetween val="midCat"/>
      </c:valAx>
      <c:valAx>
        <c:axId val="1206247759"/>
        <c:scaling>
          <c:orientation val="minMax"/>
          <c:max val="30000"/>
          <c:min val="-5000"/>
        </c:scaling>
        <c:delete val="0"/>
        <c:axPos val="b"/>
        <c:title>
          <c:tx>
            <c:rich>
              <a:bodyPr/>
              <a:lstStyle/>
              <a:p>
                <a:pPr>
                  <a:defRPr b="0" i="0"/>
                </a:pPr>
                <a:r>
                  <a:rPr lang="en-US" b="0" i="0"/>
                  <a:t>Total Profit, Column Width = 2500</a:t>
                </a:r>
              </a:p>
            </c:rich>
          </c:tx>
          <c:overlay val="0"/>
        </c:title>
        <c:numFmt formatCode="General" sourceLinked="0"/>
        <c:majorTickMark val="out"/>
        <c:minorTickMark val="none"/>
        <c:tickLblPos val="nextTo"/>
        <c:spPr>
          <a:ln>
            <a:solidFill>
              <a:srgbClr val="000000"/>
            </a:solidFill>
            <a:prstDash val="solid"/>
          </a:ln>
        </c:spPr>
        <c:txPr>
          <a:bodyPr rot="0" vert="horz"/>
          <a:lstStyle/>
          <a:p>
            <a:pPr>
              <a:defRPr sz="800" b="0" i="0"/>
            </a:pPr>
            <a:endParaRPr lang="en-US"/>
          </a:p>
        </c:txPr>
        <c:crossAx val="1206237679"/>
        <c:crossesAt val="0"/>
        <c:crossBetween val="midCat"/>
        <c:majorUnit val="5000"/>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a:pPr>
            <a:r>
              <a:rPr lang="en-US" sz="1000" b="1" i="0"/>
              <a:t>Not For Commercial Use</a:t>
            </a:r>
            <a:r>
              <a:rPr lang="en-US" sz="1000" b="0" i="0"/>
              <a:t>
SimVoi Student Version Histogram For 5000 Trials</a:t>
            </a:r>
          </a:p>
        </c:rich>
      </c:tx>
      <c:overlay val="0"/>
    </c:title>
    <c:autoTitleDeleted val="0"/>
    <c:plotArea>
      <c:layout/>
      <c:barChart>
        <c:barDir val="col"/>
        <c:grouping val="clustered"/>
        <c:varyColors val="0"/>
        <c:ser>
          <c:idx val="0"/>
          <c:order val="0"/>
          <c:spPr>
            <a:noFill/>
            <a:ln>
              <a:solidFill>
                <a:srgbClr val="000000"/>
              </a:solidFill>
              <a:prstDash val="solid"/>
            </a:ln>
          </c:spPr>
          <c:invertIfNegative val="0"/>
          <c:cat>
            <c:numRef>
              <c:f>'475order'!$E$32:$E$45</c:f>
              <c:numCache>
                <c:formatCode>General</c:formatCode>
                <c:ptCount val="14"/>
                <c:pt idx="0">
                  <c:v>-2500</c:v>
                </c:pt>
                <c:pt idx="1">
                  <c:v>0</c:v>
                </c:pt>
                <c:pt idx="2">
                  <c:v>2500</c:v>
                </c:pt>
                <c:pt idx="3">
                  <c:v>5000</c:v>
                </c:pt>
                <c:pt idx="4">
                  <c:v>7500</c:v>
                </c:pt>
                <c:pt idx="5">
                  <c:v>10000</c:v>
                </c:pt>
                <c:pt idx="6">
                  <c:v>12500</c:v>
                </c:pt>
                <c:pt idx="7">
                  <c:v>15000</c:v>
                </c:pt>
                <c:pt idx="8">
                  <c:v>17500</c:v>
                </c:pt>
                <c:pt idx="9">
                  <c:v>20000</c:v>
                </c:pt>
                <c:pt idx="10">
                  <c:v>22500</c:v>
                </c:pt>
                <c:pt idx="11">
                  <c:v>25000</c:v>
                </c:pt>
                <c:pt idx="12">
                  <c:v>27500</c:v>
                </c:pt>
                <c:pt idx="13">
                  <c:v>30000</c:v>
                </c:pt>
              </c:numCache>
            </c:numRef>
          </c:cat>
          <c:val>
            <c:numRef>
              <c:f>'475order'!$F$32:$F$45</c:f>
              <c:numCache>
                <c:formatCode>General</c:formatCode>
                <c:ptCount val="14"/>
                <c:pt idx="0">
                  <c:v>1</c:v>
                </c:pt>
                <c:pt idx="1">
                  <c:v>4</c:v>
                </c:pt>
                <c:pt idx="2">
                  <c:v>15</c:v>
                </c:pt>
                <c:pt idx="3">
                  <c:v>62</c:v>
                </c:pt>
                <c:pt idx="4">
                  <c:v>165</c:v>
                </c:pt>
                <c:pt idx="5">
                  <c:v>402</c:v>
                </c:pt>
                <c:pt idx="6">
                  <c:v>609</c:v>
                </c:pt>
                <c:pt idx="7">
                  <c:v>962</c:v>
                </c:pt>
                <c:pt idx="8">
                  <c:v>997</c:v>
                </c:pt>
                <c:pt idx="9">
                  <c:v>840</c:v>
                </c:pt>
                <c:pt idx="10">
                  <c:v>527</c:v>
                </c:pt>
                <c:pt idx="11">
                  <c:v>301</c:v>
                </c:pt>
                <c:pt idx="12">
                  <c:v>100</c:v>
                </c:pt>
                <c:pt idx="13">
                  <c:v>15</c:v>
                </c:pt>
              </c:numCache>
            </c:numRef>
          </c:val>
          <c:extLst>
            <c:ext xmlns:c16="http://schemas.microsoft.com/office/drawing/2014/chart" uri="{C3380CC4-5D6E-409C-BE32-E72D297353CC}">
              <c16:uniqueId val="{00000002-B3C0-4873-BB02-7F7C95E69A3C}"/>
            </c:ext>
          </c:extLst>
        </c:ser>
        <c:dLbls>
          <c:showLegendKey val="0"/>
          <c:showVal val="0"/>
          <c:showCatName val="0"/>
          <c:showSerName val="0"/>
          <c:showPercent val="0"/>
          <c:showBubbleSize val="0"/>
        </c:dLbls>
        <c:gapWidth val="0"/>
        <c:axId val="1206248719"/>
        <c:axId val="1206242479"/>
      </c:barChart>
      <c:scatterChart>
        <c:scatterStyle val="lineMarker"/>
        <c:varyColors val="0"/>
        <c:ser>
          <c:idx val="1"/>
          <c:order val="1"/>
          <c:spPr>
            <a:ln w="28575">
              <a:noFill/>
            </a:ln>
          </c:spPr>
          <c:marker>
            <c:symbol val="none"/>
          </c:marker>
          <c:yVal>
            <c:numLit>
              <c:formatCode>General</c:formatCode>
              <c:ptCount val="2"/>
              <c:pt idx="0">
                <c:v>1</c:v>
              </c:pt>
              <c:pt idx="1">
                <c:v>2</c:v>
              </c:pt>
            </c:numLit>
          </c:yVal>
          <c:smooth val="0"/>
          <c:extLst>
            <c:ext xmlns:c16="http://schemas.microsoft.com/office/drawing/2014/chart" uri="{C3380CC4-5D6E-409C-BE32-E72D297353CC}">
              <c16:uniqueId val="{00000003-B3C0-4873-BB02-7F7C95E69A3C}"/>
            </c:ext>
          </c:extLst>
        </c:ser>
        <c:dLbls>
          <c:showLegendKey val="0"/>
          <c:showVal val="0"/>
          <c:showCatName val="0"/>
          <c:showSerName val="0"/>
          <c:showPercent val="0"/>
          <c:showBubbleSize val="0"/>
        </c:dLbls>
        <c:axId val="1206247279"/>
        <c:axId val="1206235759"/>
      </c:scatterChart>
      <c:catAx>
        <c:axId val="1206248719"/>
        <c:scaling>
          <c:orientation val="minMax"/>
        </c:scaling>
        <c:delete val="1"/>
        <c:axPos val="b"/>
        <c:numFmt formatCode="General" sourceLinked="1"/>
        <c:majorTickMark val="out"/>
        <c:minorTickMark val="none"/>
        <c:tickLblPos val="nextTo"/>
        <c:crossAx val="1206242479"/>
        <c:crosses val="autoZero"/>
        <c:auto val="1"/>
        <c:lblAlgn val="ctr"/>
        <c:lblOffset val="100"/>
        <c:noMultiLvlLbl val="0"/>
      </c:catAx>
      <c:valAx>
        <c:axId val="1206242479"/>
        <c:scaling>
          <c:orientation val="minMax"/>
        </c:scaling>
        <c:delete val="0"/>
        <c:axPos val="l"/>
        <c:title>
          <c:tx>
            <c:rich>
              <a:bodyPr/>
              <a:lstStyle/>
              <a:p>
                <a:pPr>
                  <a:defRPr b="0" i="0"/>
                </a:pPr>
                <a:r>
                  <a:rPr lang="en-US" b="0" i="0"/>
                  <a:t>Column Frequency</a:t>
                </a:r>
              </a:p>
            </c:rich>
          </c:tx>
          <c:overlay val="0"/>
        </c:title>
        <c:numFmt formatCode="General" sourceLinked="1"/>
        <c:majorTickMark val="out"/>
        <c:minorTickMark val="none"/>
        <c:tickLblPos val="nextTo"/>
        <c:spPr>
          <a:ln>
            <a:solidFill>
              <a:srgbClr val="000000"/>
            </a:solidFill>
            <a:prstDash val="solid"/>
          </a:ln>
        </c:spPr>
        <c:txPr>
          <a:bodyPr/>
          <a:lstStyle/>
          <a:p>
            <a:pPr>
              <a:defRPr sz="800" b="0" i="0"/>
            </a:pPr>
            <a:endParaRPr lang="en-US"/>
          </a:p>
        </c:txPr>
        <c:crossAx val="1206248719"/>
        <c:crosses val="autoZero"/>
        <c:crossBetween val="between"/>
      </c:valAx>
      <c:valAx>
        <c:axId val="1206235759"/>
        <c:scaling>
          <c:orientation val="minMax"/>
        </c:scaling>
        <c:delete val="1"/>
        <c:axPos val="r"/>
        <c:numFmt formatCode="General" sourceLinked="1"/>
        <c:majorTickMark val="out"/>
        <c:minorTickMark val="none"/>
        <c:tickLblPos val="nextTo"/>
        <c:crossAx val="1206247279"/>
        <c:crosses val="max"/>
        <c:crossBetween val="midCat"/>
      </c:valAx>
      <c:valAx>
        <c:axId val="1206247279"/>
        <c:scaling>
          <c:orientation val="minMax"/>
          <c:max val="30000"/>
          <c:min val="-5000"/>
        </c:scaling>
        <c:delete val="0"/>
        <c:axPos val="b"/>
        <c:title>
          <c:tx>
            <c:rich>
              <a:bodyPr/>
              <a:lstStyle/>
              <a:p>
                <a:pPr>
                  <a:defRPr b="0" i="0"/>
                </a:pPr>
                <a:r>
                  <a:rPr lang="en-US" b="0" i="0"/>
                  <a:t>Total Profit, Column Width = 2500</a:t>
                </a:r>
              </a:p>
            </c:rich>
          </c:tx>
          <c:overlay val="0"/>
        </c:title>
        <c:numFmt formatCode="General" sourceLinked="0"/>
        <c:majorTickMark val="out"/>
        <c:minorTickMark val="none"/>
        <c:tickLblPos val="nextTo"/>
        <c:spPr>
          <a:ln>
            <a:solidFill>
              <a:srgbClr val="000000"/>
            </a:solidFill>
            <a:prstDash val="solid"/>
          </a:ln>
        </c:spPr>
        <c:txPr>
          <a:bodyPr rot="0" vert="horz"/>
          <a:lstStyle/>
          <a:p>
            <a:pPr>
              <a:defRPr sz="800" b="0" i="0"/>
            </a:pPr>
            <a:endParaRPr lang="en-US"/>
          </a:p>
        </c:txPr>
        <c:crossAx val="1206235759"/>
        <c:crossesAt val="0"/>
        <c:crossBetween val="midCat"/>
        <c:majorUnit val="5000"/>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a:pPr>
            <a:r>
              <a:rPr lang="en-US" sz="1000" b="1" i="0"/>
              <a:t>Not For Commercial Use</a:t>
            </a:r>
            <a:r>
              <a:rPr lang="en-US" sz="1000" b="0" i="0"/>
              <a:t>
SimVoi Student Version Histogram For 5000 Trials</a:t>
            </a:r>
          </a:p>
        </c:rich>
      </c:tx>
      <c:overlay val="0"/>
    </c:title>
    <c:autoTitleDeleted val="0"/>
    <c:plotArea>
      <c:layout/>
      <c:barChart>
        <c:barDir val="col"/>
        <c:grouping val="clustered"/>
        <c:varyColors val="0"/>
        <c:ser>
          <c:idx val="0"/>
          <c:order val="0"/>
          <c:spPr>
            <a:noFill/>
            <a:ln>
              <a:solidFill>
                <a:srgbClr val="000000"/>
              </a:solidFill>
              <a:prstDash val="solid"/>
            </a:ln>
          </c:spPr>
          <c:invertIfNegative val="0"/>
          <c:cat>
            <c:numRef>
              <c:f>'500order'!$E$32:$E$47</c:f>
              <c:numCache>
                <c:formatCode>General</c:formatCode>
                <c:ptCount val="16"/>
                <c:pt idx="0">
                  <c:v>-2500</c:v>
                </c:pt>
                <c:pt idx="1">
                  <c:v>0</c:v>
                </c:pt>
                <c:pt idx="2">
                  <c:v>2500</c:v>
                </c:pt>
                <c:pt idx="3">
                  <c:v>5000</c:v>
                </c:pt>
                <c:pt idx="4">
                  <c:v>7500</c:v>
                </c:pt>
                <c:pt idx="5">
                  <c:v>10000</c:v>
                </c:pt>
                <c:pt idx="6">
                  <c:v>12500</c:v>
                </c:pt>
                <c:pt idx="7">
                  <c:v>15000</c:v>
                </c:pt>
                <c:pt idx="8">
                  <c:v>17500</c:v>
                </c:pt>
                <c:pt idx="9">
                  <c:v>20000</c:v>
                </c:pt>
                <c:pt idx="10">
                  <c:v>22500</c:v>
                </c:pt>
                <c:pt idx="11">
                  <c:v>25000</c:v>
                </c:pt>
                <c:pt idx="12">
                  <c:v>27500</c:v>
                </c:pt>
                <c:pt idx="13">
                  <c:v>30000</c:v>
                </c:pt>
                <c:pt idx="14">
                  <c:v>32500</c:v>
                </c:pt>
                <c:pt idx="15">
                  <c:v>35000</c:v>
                </c:pt>
              </c:numCache>
            </c:numRef>
          </c:cat>
          <c:val>
            <c:numRef>
              <c:f>'500order'!$F$32:$F$47</c:f>
              <c:numCache>
                <c:formatCode>General</c:formatCode>
                <c:ptCount val="16"/>
                <c:pt idx="0">
                  <c:v>0</c:v>
                </c:pt>
                <c:pt idx="1">
                  <c:v>2</c:v>
                </c:pt>
                <c:pt idx="2">
                  <c:v>14</c:v>
                </c:pt>
                <c:pt idx="3">
                  <c:v>67</c:v>
                </c:pt>
                <c:pt idx="4">
                  <c:v>199</c:v>
                </c:pt>
                <c:pt idx="5">
                  <c:v>357</c:v>
                </c:pt>
                <c:pt idx="6">
                  <c:v>668</c:v>
                </c:pt>
                <c:pt idx="7">
                  <c:v>944</c:v>
                </c:pt>
                <c:pt idx="8">
                  <c:v>990</c:v>
                </c:pt>
                <c:pt idx="9">
                  <c:v>855</c:v>
                </c:pt>
                <c:pt idx="10">
                  <c:v>523</c:v>
                </c:pt>
                <c:pt idx="11">
                  <c:v>257</c:v>
                </c:pt>
                <c:pt idx="12">
                  <c:v>96</c:v>
                </c:pt>
                <c:pt idx="13">
                  <c:v>28</c:v>
                </c:pt>
                <c:pt idx="14">
                  <c:v>0</c:v>
                </c:pt>
                <c:pt idx="15">
                  <c:v>0</c:v>
                </c:pt>
              </c:numCache>
            </c:numRef>
          </c:val>
          <c:extLst>
            <c:ext xmlns:c16="http://schemas.microsoft.com/office/drawing/2014/chart" uri="{C3380CC4-5D6E-409C-BE32-E72D297353CC}">
              <c16:uniqueId val="{00000002-8B3A-4C55-B5B7-9B654A5DD234}"/>
            </c:ext>
          </c:extLst>
        </c:ser>
        <c:dLbls>
          <c:showLegendKey val="0"/>
          <c:showVal val="0"/>
          <c:showCatName val="0"/>
          <c:showSerName val="0"/>
          <c:showPercent val="0"/>
          <c:showBubbleSize val="0"/>
        </c:dLbls>
        <c:gapWidth val="0"/>
        <c:axId val="1206260239"/>
        <c:axId val="1206265039"/>
      </c:barChart>
      <c:scatterChart>
        <c:scatterStyle val="lineMarker"/>
        <c:varyColors val="0"/>
        <c:ser>
          <c:idx val="1"/>
          <c:order val="1"/>
          <c:spPr>
            <a:ln w="28575">
              <a:noFill/>
            </a:ln>
          </c:spPr>
          <c:marker>
            <c:symbol val="none"/>
          </c:marker>
          <c:yVal>
            <c:numLit>
              <c:formatCode>General</c:formatCode>
              <c:ptCount val="2"/>
              <c:pt idx="0">
                <c:v>1</c:v>
              </c:pt>
              <c:pt idx="1">
                <c:v>2</c:v>
              </c:pt>
            </c:numLit>
          </c:yVal>
          <c:smooth val="0"/>
          <c:extLst>
            <c:ext xmlns:c16="http://schemas.microsoft.com/office/drawing/2014/chart" uri="{C3380CC4-5D6E-409C-BE32-E72D297353CC}">
              <c16:uniqueId val="{00000003-8B3A-4C55-B5B7-9B654A5DD234}"/>
            </c:ext>
          </c:extLst>
        </c:ser>
        <c:dLbls>
          <c:showLegendKey val="0"/>
          <c:showVal val="0"/>
          <c:showCatName val="0"/>
          <c:showSerName val="0"/>
          <c:showPercent val="0"/>
          <c:showBubbleSize val="0"/>
        </c:dLbls>
        <c:axId val="1206270319"/>
        <c:axId val="1206274159"/>
      </c:scatterChart>
      <c:catAx>
        <c:axId val="1206260239"/>
        <c:scaling>
          <c:orientation val="minMax"/>
        </c:scaling>
        <c:delete val="1"/>
        <c:axPos val="b"/>
        <c:numFmt formatCode="General" sourceLinked="1"/>
        <c:majorTickMark val="out"/>
        <c:minorTickMark val="none"/>
        <c:tickLblPos val="nextTo"/>
        <c:crossAx val="1206265039"/>
        <c:crosses val="autoZero"/>
        <c:auto val="1"/>
        <c:lblAlgn val="ctr"/>
        <c:lblOffset val="100"/>
        <c:noMultiLvlLbl val="0"/>
      </c:catAx>
      <c:valAx>
        <c:axId val="1206265039"/>
        <c:scaling>
          <c:orientation val="minMax"/>
        </c:scaling>
        <c:delete val="0"/>
        <c:axPos val="l"/>
        <c:title>
          <c:tx>
            <c:rich>
              <a:bodyPr/>
              <a:lstStyle/>
              <a:p>
                <a:pPr>
                  <a:defRPr b="0" i="0"/>
                </a:pPr>
                <a:r>
                  <a:rPr lang="en-US" b="0" i="0"/>
                  <a:t>Column Frequency</a:t>
                </a:r>
              </a:p>
            </c:rich>
          </c:tx>
          <c:overlay val="0"/>
        </c:title>
        <c:numFmt formatCode="General" sourceLinked="1"/>
        <c:majorTickMark val="out"/>
        <c:minorTickMark val="none"/>
        <c:tickLblPos val="nextTo"/>
        <c:spPr>
          <a:ln>
            <a:solidFill>
              <a:srgbClr val="000000"/>
            </a:solidFill>
            <a:prstDash val="solid"/>
          </a:ln>
        </c:spPr>
        <c:txPr>
          <a:bodyPr/>
          <a:lstStyle/>
          <a:p>
            <a:pPr>
              <a:defRPr sz="800" b="0" i="0"/>
            </a:pPr>
            <a:endParaRPr lang="en-US"/>
          </a:p>
        </c:txPr>
        <c:crossAx val="1206260239"/>
        <c:crosses val="autoZero"/>
        <c:crossBetween val="between"/>
      </c:valAx>
      <c:valAx>
        <c:axId val="1206274159"/>
        <c:scaling>
          <c:orientation val="minMax"/>
        </c:scaling>
        <c:delete val="1"/>
        <c:axPos val="r"/>
        <c:numFmt formatCode="General" sourceLinked="1"/>
        <c:majorTickMark val="out"/>
        <c:minorTickMark val="none"/>
        <c:tickLblPos val="nextTo"/>
        <c:crossAx val="1206270319"/>
        <c:crosses val="max"/>
        <c:crossBetween val="midCat"/>
      </c:valAx>
      <c:valAx>
        <c:axId val="1206270319"/>
        <c:scaling>
          <c:orientation val="minMax"/>
          <c:max val="35000"/>
          <c:min val="-5000"/>
        </c:scaling>
        <c:delete val="0"/>
        <c:axPos val="b"/>
        <c:title>
          <c:tx>
            <c:rich>
              <a:bodyPr/>
              <a:lstStyle/>
              <a:p>
                <a:pPr>
                  <a:defRPr b="0" i="0"/>
                </a:pPr>
                <a:r>
                  <a:rPr lang="en-US" b="0" i="0"/>
                  <a:t>Total Profit, Column Width = 2500</a:t>
                </a:r>
              </a:p>
            </c:rich>
          </c:tx>
          <c:overlay val="0"/>
        </c:title>
        <c:numFmt formatCode="General" sourceLinked="0"/>
        <c:majorTickMark val="out"/>
        <c:minorTickMark val="none"/>
        <c:tickLblPos val="nextTo"/>
        <c:spPr>
          <a:ln>
            <a:solidFill>
              <a:srgbClr val="000000"/>
            </a:solidFill>
            <a:prstDash val="solid"/>
          </a:ln>
        </c:spPr>
        <c:txPr>
          <a:bodyPr rot="0" vert="horz"/>
          <a:lstStyle/>
          <a:p>
            <a:pPr>
              <a:defRPr sz="800" b="0" i="0"/>
            </a:pPr>
            <a:endParaRPr lang="en-US"/>
          </a:p>
        </c:txPr>
        <c:crossAx val="1206274159"/>
        <c:crossesAt val="0"/>
        <c:crossBetween val="midCat"/>
        <c:majorUnit val="5000"/>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a:pPr>
            <a:r>
              <a:rPr lang="en-US" sz="1000" b="1" i="0"/>
              <a:t>Not For Commercial Use</a:t>
            </a:r>
            <a:r>
              <a:rPr lang="en-US" sz="1000" b="0" i="0"/>
              <a:t>
SimVoi Student Version Histogram For 5000 Trials</a:t>
            </a:r>
          </a:p>
        </c:rich>
      </c:tx>
      <c:overlay val="0"/>
    </c:title>
    <c:autoTitleDeleted val="0"/>
    <c:plotArea>
      <c:layout/>
      <c:barChart>
        <c:barDir val="col"/>
        <c:grouping val="clustered"/>
        <c:varyColors val="0"/>
        <c:ser>
          <c:idx val="0"/>
          <c:order val="0"/>
          <c:spPr>
            <a:noFill/>
            <a:ln>
              <a:solidFill>
                <a:srgbClr val="000000"/>
              </a:solidFill>
              <a:prstDash val="solid"/>
            </a:ln>
          </c:spPr>
          <c:invertIfNegative val="0"/>
          <c:cat>
            <c:numRef>
              <c:f>'e.)SimVoi.10 Univariate Summary'!$E$32:$E$53</c:f>
              <c:numCache>
                <c:formatCode>General</c:formatCode>
                <c:ptCount val="22"/>
                <c:pt idx="0">
                  <c:v>-1000</c:v>
                </c:pt>
                <c:pt idx="1">
                  <c:v>0</c:v>
                </c:pt>
                <c:pt idx="2">
                  <c:v>1000</c:v>
                </c:pt>
                <c:pt idx="3">
                  <c:v>2000</c:v>
                </c:pt>
                <c:pt idx="4">
                  <c:v>3000</c:v>
                </c:pt>
                <c:pt idx="5">
                  <c:v>4000</c:v>
                </c:pt>
                <c:pt idx="6">
                  <c:v>5000</c:v>
                </c:pt>
                <c:pt idx="7">
                  <c:v>6000</c:v>
                </c:pt>
                <c:pt idx="8">
                  <c:v>7000</c:v>
                </c:pt>
                <c:pt idx="9">
                  <c:v>8000</c:v>
                </c:pt>
                <c:pt idx="10">
                  <c:v>9000</c:v>
                </c:pt>
                <c:pt idx="11">
                  <c:v>10000</c:v>
                </c:pt>
                <c:pt idx="12">
                  <c:v>11000</c:v>
                </c:pt>
                <c:pt idx="13">
                  <c:v>12000</c:v>
                </c:pt>
                <c:pt idx="14">
                  <c:v>13000</c:v>
                </c:pt>
                <c:pt idx="15">
                  <c:v>14000</c:v>
                </c:pt>
                <c:pt idx="16">
                  <c:v>15000</c:v>
                </c:pt>
                <c:pt idx="17">
                  <c:v>16000</c:v>
                </c:pt>
                <c:pt idx="18">
                  <c:v>17000</c:v>
                </c:pt>
                <c:pt idx="19">
                  <c:v>18000</c:v>
                </c:pt>
                <c:pt idx="20">
                  <c:v>19000</c:v>
                </c:pt>
                <c:pt idx="21">
                  <c:v>20000</c:v>
                </c:pt>
              </c:numCache>
            </c:numRef>
          </c:cat>
          <c:val>
            <c:numRef>
              <c:f>'e.)SimVoi.10 Univariate Summary'!$F$32:$F$53</c:f>
              <c:numCache>
                <c:formatCode>General</c:formatCode>
                <c:ptCount val="22"/>
                <c:pt idx="0">
                  <c:v>0</c:v>
                </c:pt>
                <c:pt idx="1">
                  <c:v>3</c:v>
                </c:pt>
                <c:pt idx="2">
                  <c:v>4</c:v>
                </c:pt>
                <c:pt idx="3">
                  <c:v>4</c:v>
                </c:pt>
                <c:pt idx="4">
                  <c:v>6</c:v>
                </c:pt>
                <c:pt idx="5">
                  <c:v>7</c:v>
                </c:pt>
                <c:pt idx="6">
                  <c:v>23</c:v>
                </c:pt>
                <c:pt idx="7">
                  <c:v>30</c:v>
                </c:pt>
                <c:pt idx="8">
                  <c:v>46</c:v>
                </c:pt>
                <c:pt idx="9">
                  <c:v>63</c:v>
                </c:pt>
                <c:pt idx="10">
                  <c:v>102</c:v>
                </c:pt>
                <c:pt idx="11">
                  <c:v>140</c:v>
                </c:pt>
                <c:pt idx="12">
                  <c:v>180</c:v>
                </c:pt>
                <c:pt idx="13">
                  <c:v>240</c:v>
                </c:pt>
                <c:pt idx="14">
                  <c:v>272</c:v>
                </c:pt>
                <c:pt idx="15">
                  <c:v>334</c:v>
                </c:pt>
                <c:pt idx="16">
                  <c:v>339</c:v>
                </c:pt>
                <c:pt idx="17">
                  <c:v>432</c:v>
                </c:pt>
                <c:pt idx="18">
                  <c:v>697</c:v>
                </c:pt>
                <c:pt idx="19">
                  <c:v>2078</c:v>
                </c:pt>
                <c:pt idx="20">
                  <c:v>0</c:v>
                </c:pt>
                <c:pt idx="21">
                  <c:v>0</c:v>
                </c:pt>
              </c:numCache>
            </c:numRef>
          </c:val>
          <c:extLst>
            <c:ext xmlns:c16="http://schemas.microsoft.com/office/drawing/2014/chart" uri="{C3380CC4-5D6E-409C-BE32-E72D297353CC}">
              <c16:uniqueId val="{00000002-0AA0-48C9-B08F-E9C68E172192}"/>
            </c:ext>
          </c:extLst>
        </c:ser>
        <c:dLbls>
          <c:showLegendKey val="0"/>
          <c:showVal val="0"/>
          <c:showCatName val="0"/>
          <c:showSerName val="0"/>
          <c:showPercent val="0"/>
          <c:showBubbleSize val="0"/>
        </c:dLbls>
        <c:gapWidth val="0"/>
        <c:axId val="1206302959"/>
        <c:axId val="1206317839"/>
      </c:barChart>
      <c:scatterChart>
        <c:scatterStyle val="lineMarker"/>
        <c:varyColors val="0"/>
        <c:ser>
          <c:idx val="1"/>
          <c:order val="1"/>
          <c:spPr>
            <a:ln w="28575">
              <a:noFill/>
            </a:ln>
          </c:spPr>
          <c:marker>
            <c:symbol val="none"/>
          </c:marker>
          <c:yVal>
            <c:numLit>
              <c:formatCode>General</c:formatCode>
              <c:ptCount val="2"/>
              <c:pt idx="0">
                <c:v>1</c:v>
              </c:pt>
              <c:pt idx="1">
                <c:v>2</c:v>
              </c:pt>
            </c:numLit>
          </c:yVal>
          <c:smooth val="0"/>
          <c:extLst>
            <c:ext xmlns:c16="http://schemas.microsoft.com/office/drawing/2014/chart" uri="{C3380CC4-5D6E-409C-BE32-E72D297353CC}">
              <c16:uniqueId val="{00000003-0AA0-48C9-B08F-E9C68E172192}"/>
            </c:ext>
          </c:extLst>
        </c:ser>
        <c:dLbls>
          <c:showLegendKey val="0"/>
          <c:showVal val="0"/>
          <c:showCatName val="0"/>
          <c:showSerName val="0"/>
          <c:showPercent val="0"/>
          <c:showBubbleSize val="0"/>
        </c:dLbls>
        <c:axId val="1206309199"/>
        <c:axId val="1206303439"/>
      </c:scatterChart>
      <c:catAx>
        <c:axId val="1206302959"/>
        <c:scaling>
          <c:orientation val="minMax"/>
        </c:scaling>
        <c:delete val="1"/>
        <c:axPos val="b"/>
        <c:numFmt formatCode="General" sourceLinked="1"/>
        <c:majorTickMark val="out"/>
        <c:minorTickMark val="none"/>
        <c:tickLblPos val="nextTo"/>
        <c:crossAx val="1206317839"/>
        <c:crosses val="autoZero"/>
        <c:auto val="1"/>
        <c:lblAlgn val="ctr"/>
        <c:lblOffset val="100"/>
        <c:noMultiLvlLbl val="0"/>
      </c:catAx>
      <c:valAx>
        <c:axId val="1206317839"/>
        <c:scaling>
          <c:orientation val="minMax"/>
        </c:scaling>
        <c:delete val="0"/>
        <c:axPos val="l"/>
        <c:title>
          <c:tx>
            <c:rich>
              <a:bodyPr/>
              <a:lstStyle/>
              <a:p>
                <a:pPr>
                  <a:defRPr b="0" i="0"/>
                </a:pPr>
                <a:r>
                  <a:rPr lang="en-US" b="0" i="0"/>
                  <a:t>Column Frequency</a:t>
                </a:r>
              </a:p>
            </c:rich>
          </c:tx>
          <c:overlay val="0"/>
        </c:title>
        <c:numFmt formatCode="General" sourceLinked="1"/>
        <c:majorTickMark val="out"/>
        <c:minorTickMark val="none"/>
        <c:tickLblPos val="nextTo"/>
        <c:spPr>
          <a:ln>
            <a:solidFill>
              <a:srgbClr val="000000"/>
            </a:solidFill>
            <a:prstDash val="solid"/>
          </a:ln>
        </c:spPr>
        <c:txPr>
          <a:bodyPr/>
          <a:lstStyle/>
          <a:p>
            <a:pPr>
              <a:defRPr sz="800" b="0" i="0"/>
            </a:pPr>
            <a:endParaRPr lang="en-US"/>
          </a:p>
        </c:txPr>
        <c:crossAx val="1206302959"/>
        <c:crosses val="autoZero"/>
        <c:crossBetween val="between"/>
      </c:valAx>
      <c:valAx>
        <c:axId val="1206303439"/>
        <c:scaling>
          <c:orientation val="minMax"/>
        </c:scaling>
        <c:delete val="1"/>
        <c:axPos val="r"/>
        <c:numFmt formatCode="General" sourceLinked="1"/>
        <c:majorTickMark val="out"/>
        <c:minorTickMark val="none"/>
        <c:tickLblPos val="nextTo"/>
        <c:crossAx val="1206309199"/>
        <c:crosses val="max"/>
        <c:crossBetween val="midCat"/>
      </c:valAx>
      <c:valAx>
        <c:axId val="1206309199"/>
        <c:scaling>
          <c:orientation val="minMax"/>
          <c:max val="20000"/>
          <c:min val="-2000"/>
        </c:scaling>
        <c:delete val="0"/>
        <c:axPos val="b"/>
        <c:title>
          <c:tx>
            <c:rich>
              <a:bodyPr/>
              <a:lstStyle/>
              <a:p>
                <a:pPr>
                  <a:defRPr b="0" i="0"/>
                </a:pPr>
                <a:r>
                  <a:rPr lang="en-US" b="0" i="0"/>
                  <a:t>Total Profit, Column Width = 1000</a:t>
                </a:r>
              </a:p>
            </c:rich>
          </c:tx>
          <c:overlay val="0"/>
        </c:title>
        <c:numFmt formatCode="General" sourceLinked="0"/>
        <c:majorTickMark val="out"/>
        <c:minorTickMark val="none"/>
        <c:tickLblPos val="nextTo"/>
        <c:spPr>
          <a:ln>
            <a:solidFill>
              <a:srgbClr val="000000"/>
            </a:solidFill>
            <a:prstDash val="solid"/>
          </a:ln>
        </c:spPr>
        <c:txPr>
          <a:bodyPr rot="0" vert="horz"/>
          <a:lstStyle/>
          <a:p>
            <a:pPr>
              <a:defRPr sz="800" b="0" i="0"/>
            </a:pPr>
            <a:endParaRPr lang="en-US"/>
          </a:p>
        </c:txPr>
        <c:crossAx val="1206303439"/>
        <c:crossesAt val="0"/>
        <c:crossBetween val="midCat"/>
        <c:majorUnit val="2000"/>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7</xdr:col>
      <xdr:colOff>800100</xdr:colOff>
      <xdr:row>12</xdr:row>
      <xdr:rowOff>152400</xdr:rowOff>
    </xdr:from>
    <xdr:to>
      <xdr:col>12</xdr:col>
      <xdr:colOff>19050</xdr:colOff>
      <xdr:row>35</xdr:row>
      <xdr:rowOff>6350</xdr:rowOff>
    </xdr:to>
    <xdr:sp macro="" textlink="">
      <xdr:nvSpPr>
        <xdr:cNvPr id="8" name="TextBox 7">
          <a:extLst>
            <a:ext uri="{FF2B5EF4-FFF2-40B4-BE49-F238E27FC236}">
              <a16:creationId xmlns:a16="http://schemas.microsoft.com/office/drawing/2014/main" id="{41948727-59A4-847E-A173-C26733FDB698}"/>
            </a:ext>
          </a:extLst>
        </xdr:cNvPr>
        <xdr:cNvSpPr txBox="1"/>
      </xdr:nvSpPr>
      <xdr:spPr>
        <a:xfrm>
          <a:off x="9664700" y="2362200"/>
          <a:ext cx="4775200" cy="408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A.) </a:t>
          </a:r>
          <a:r>
            <a:rPr lang="en-US" sz="1100" b="0" i="0" u="none" strike="noStrike">
              <a:solidFill>
                <a:schemeClr val="dk1"/>
              </a:solidFill>
              <a:effectLst/>
              <a:latin typeface="+mn-lt"/>
              <a:ea typeface="+mn-ea"/>
              <a:cs typeface="+mn-cs"/>
            </a:rPr>
            <a:t>Expected Value of Total Demand</a:t>
          </a:r>
          <a:r>
            <a:rPr lang="en-US"/>
            <a:t>: </a:t>
          </a:r>
          <a:r>
            <a:rPr lang="en-US" sz="1100" b="0" i="0" u="none" strike="noStrike">
              <a:solidFill>
                <a:schemeClr val="dk1"/>
              </a:solidFill>
              <a:effectLst/>
              <a:latin typeface="+mn-lt"/>
              <a:ea typeface="+mn-ea"/>
              <a:cs typeface="+mn-cs"/>
            </a:rPr>
            <a:t>344.8154</a:t>
          </a:r>
          <a:r>
            <a:rPr lang="en-US"/>
            <a:t> </a:t>
          </a:r>
        </a:p>
        <a:p>
          <a:r>
            <a:rPr lang="en-US" sz="1100" b="0" i="0">
              <a:solidFill>
                <a:schemeClr val="dk1"/>
              </a:solidFill>
              <a:effectLst/>
              <a:latin typeface="+mn-lt"/>
              <a:ea typeface="+mn-ea"/>
              <a:cs typeface="+mn-cs"/>
            </a:rPr>
            <a:t>Standard Deviation of Total Demand:</a:t>
          </a:r>
          <a:r>
            <a:rPr lang="en-US" sz="110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78.59916</a:t>
          </a:r>
          <a:r>
            <a:rPr lang="en-US"/>
            <a:t> </a:t>
          </a:r>
        </a:p>
        <a:p>
          <a:endParaRPr lang="en-US" sz="1100"/>
        </a:p>
        <a:p>
          <a:r>
            <a:rPr lang="en-US" sz="1100" b="1" i="0" u="none" strike="noStrike">
              <a:solidFill>
                <a:schemeClr val="dk1"/>
              </a:solidFill>
              <a:effectLst/>
              <a:latin typeface="+mn-lt"/>
              <a:ea typeface="+mn-ea"/>
              <a:cs typeface="+mn-cs"/>
            </a:rPr>
            <a:t>B.) </a:t>
          </a:r>
          <a:r>
            <a:rPr lang="en-US" sz="1100" b="0" i="0" u="none" strike="noStrike">
              <a:solidFill>
                <a:schemeClr val="dk1"/>
              </a:solidFill>
              <a:effectLst/>
              <a:latin typeface="+mn-lt"/>
              <a:ea typeface="+mn-ea"/>
              <a:cs typeface="+mn-cs"/>
            </a:rPr>
            <a:t>Expected</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Profit:</a:t>
          </a:r>
          <a:r>
            <a:rPr lang="en-US"/>
            <a:t> </a:t>
          </a:r>
          <a:r>
            <a:rPr lang="en-US" sz="1100" b="0" i="0" u="none" strike="noStrike">
              <a:solidFill>
                <a:schemeClr val="dk1"/>
              </a:solidFill>
              <a:effectLst/>
              <a:latin typeface="+mn-lt"/>
              <a:ea typeface="+mn-ea"/>
              <a:cs typeface="+mn-cs"/>
            </a:rPr>
            <a:t>14912.8734</a:t>
          </a:r>
          <a:r>
            <a:rPr lang="en-US"/>
            <a:t> </a:t>
          </a:r>
        </a:p>
        <a:p>
          <a:r>
            <a:rPr lang="en-US" sz="1100" b="0" i="0" u="none" strike="noStrike">
              <a:solidFill>
                <a:schemeClr val="dk1"/>
              </a:solidFill>
              <a:effectLst/>
              <a:latin typeface="+mn-lt"/>
              <a:ea typeface="+mn-ea"/>
              <a:cs typeface="+mn-cs"/>
            </a:rPr>
            <a:t>Histrogram can be found under tab "b.) SimVoi.2 Univariate Summary"</a:t>
          </a:r>
        </a:p>
        <a:p>
          <a:endParaRPr lang="en-US" sz="1100" b="0" i="0" u="none" strike="noStrike">
            <a:solidFill>
              <a:schemeClr val="dk1"/>
            </a:solidFill>
            <a:effectLst/>
            <a:latin typeface="+mn-lt"/>
            <a:ea typeface="+mn-ea"/>
            <a:cs typeface="+mn-cs"/>
          </a:endParaRPr>
        </a:p>
        <a:p>
          <a:r>
            <a:rPr lang="en-US" sz="1100" b="1" i="0" u="none" strike="noStrike">
              <a:solidFill>
                <a:schemeClr val="dk1"/>
              </a:solidFill>
              <a:effectLst/>
              <a:latin typeface="+mn-lt"/>
              <a:ea typeface="+mn-ea"/>
              <a:cs typeface="+mn-cs"/>
            </a:rPr>
            <a:t>C.)</a:t>
          </a:r>
          <a:r>
            <a:rPr lang="en-US" b="1"/>
            <a:t> </a:t>
          </a:r>
          <a:r>
            <a:rPr lang="en-US" sz="1100" b="1" i="0" u="none" strike="noStrike">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 Trials Sold All:</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3543</a:t>
          </a:r>
          <a:r>
            <a:rPr lang="en-US" b="0"/>
            <a:t> </a:t>
          </a:r>
        </a:p>
        <a:p>
          <a:r>
            <a:rPr lang="en-US"/>
            <a:t>The probability that they will all be sold within four months</a:t>
          </a:r>
          <a:r>
            <a:rPr lang="en-US" sz="1100" b="0" i="0" u="none" strike="noStrike">
              <a:solidFill>
                <a:schemeClr val="dk1"/>
              </a:solidFill>
              <a:effectLst/>
              <a:latin typeface="+mn-lt"/>
              <a:ea typeface="+mn-ea"/>
              <a:cs typeface="+mn-cs"/>
            </a:rPr>
            <a:t>:</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0.7086</a:t>
          </a:r>
          <a:r>
            <a:rPr lang="en-US"/>
            <a:t> </a:t>
          </a:r>
        </a:p>
        <a:p>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b="1"/>
            <a:t>D.) </a:t>
          </a:r>
          <a:r>
            <a:rPr lang="en-US" sz="1100" b="0" i="0">
              <a:solidFill>
                <a:schemeClr val="dk1"/>
              </a:solidFill>
              <a:effectLst/>
              <a:latin typeface="+mn-lt"/>
              <a:ea typeface="+mn-ea"/>
              <a:cs typeface="+mn-cs"/>
            </a:rPr>
            <a:t>400 Units</a:t>
          </a:r>
          <a:r>
            <a:rPr lang="en-US" sz="1100" b="0" i="0" baseline="0">
              <a:solidFill>
                <a:schemeClr val="dk1"/>
              </a:solidFill>
              <a:effectLst/>
              <a:latin typeface="+mn-lt"/>
              <a:ea typeface="+mn-ea"/>
              <a:cs typeface="+mn-cs"/>
            </a:rPr>
            <a:t> is</a:t>
          </a:r>
          <a:r>
            <a:rPr lang="en-US"/>
            <a:t> the order quantity that maximizes the expected value of total profit </a:t>
          </a:r>
          <a:r>
            <a:rPr lang="en-US" sz="1100" b="0" i="0" u="none" strike="noStrike">
              <a:solidFill>
                <a:schemeClr val="dk1"/>
              </a:solidFill>
              <a:effectLst/>
              <a:latin typeface="+mn-lt"/>
              <a:ea typeface="+mn-ea"/>
              <a:cs typeface="+mn-cs"/>
            </a:rPr>
            <a:t>(15825.543)</a:t>
          </a:r>
          <a:r>
            <a:rPr lang="en-US"/>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Scatter Plot can be found under tab "d.)"</a:t>
          </a:r>
          <a:endParaRPr lang="en-US">
            <a:effectLst/>
          </a:endParaRPr>
        </a:p>
        <a:p>
          <a:endParaRPr lang="en-US"/>
        </a:p>
        <a:p>
          <a:r>
            <a:rPr lang="en-US" b="1"/>
            <a:t>E.) </a:t>
          </a:r>
          <a:r>
            <a:rPr lang="en-US" sz="1100" b="0" i="0" u="none" strike="noStrike">
              <a:solidFill>
                <a:schemeClr val="dk1"/>
              </a:solidFill>
              <a:effectLst/>
              <a:latin typeface="+mn-lt"/>
              <a:ea typeface="+mn-ea"/>
              <a:cs typeface="+mn-cs"/>
            </a:rPr>
            <a:t>One-third off:</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15199.00019</a:t>
          </a:r>
          <a:r>
            <a:rPr lang="en-US"/>
            <a:t> </a:t>
          </a:r>
        </a:p>
        <a:p>
          <a:r>
            <a:rPr lang="en-US" sz="1100" b="0" i="0">
              <a:solidFill>
                <a:schemeClr val="dk1"/>
              </a:solidFill>
              <a:effectLst/>
              <a:latin typeface="+mn-lt"/>
              <a:ea typeface="+mn-ea"/>
              <a:cs typeface="+mn-cs"/>
            </a:rPr>
            <a:t>Half-price sale:</a:t>
          </a:r>
          <a:r>
            <a:rPr lang="en-US" sz="1100" b="0" i="0"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14912.8734</a:t>
          </a:r>
          <a:r>
            <a:rPr lang="en-US"/>
            <a:t> </a:t>
          </a:r>
        </a:p>
        <a:p>
          <a:endParaRPr lang="en-US"/>
        </a:p>
        <a:p>
          <a:r>
            <a:rPr lang="en-US" sz="1100" b="0" i="0" u="none" strike="noStrike">
              <a:solidFill>
                <a:schemeClr val="dk1"/>
              </a:solidFill>
              <a:effectLst/>
              <a:latin typeface="+mn-lt"/>
              <a:ea typeface="+mn-ea"/>
              <a:cs typeface="+mn-cs"/>
            </a:rPr>
            <a:t>Since $15,199.00 &gt; $14,912.87, the one-third off strategy is expected to yield a higher profit than the half-price sale. Therefore the one-third off sale is the better option.</a:t>
          </a:r>
          <a:r>
            <a:rPr lang="en-US"/>
            <a:t> </a:t>
          </a:r>
        </a:p>
        <a:p>
          <a:endParaRPr lang="en-US" sz="1100"/>
        </a:p>
        <a:p>
          <a:endParaRPr lang="en-US" sz="1100"/>
        </a:p>
        <a:p>
          <a:endParaRPr lang="en-US" sz="1100"/>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558800</xdr:colOff>
      <xdr:row>1</xdr:row>
      <xdr:rowOff>95250</xdr:rowOff>
    </xdr:from>
    <xdr:to>
      <xdr:col>12</xdr:col>
      <xdr:colOff>203200</xdr:colOff>
      <xdr:row>32</xdr:row>
      <xdr:rowOff>127000</xdr:rowOff>
    </xdr:to>
    <xdr:sp macro="" textlink="">
      <xdr:nvSpPr>
        <xdr:cNvPr id="2" name="TextBox 1">
          <a:extLst>
            <a:ext uri="{FF2B5EF4-FFF2-40B4-BE49-F238E27FC236}">
              <a16:creationId xmlns:a16="http://schemas.microsoft.com/office/drawing/2014/main" id="{F7F965D7-FB7D-3C92-FD9B-B034ED63337F}"/>
            </a:ext>
          </a:extLst>
        </xdr:cNvPr>
        <xdr:cNvSpPr txBox="1"/>
      </xdr:nvSpPr>
      <xdr:spPr>
        <a:xfrm>
          <a:off x="1168400" y="279400"/>
          <a:ext cx="6350000" cy="5740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A.) </a:t>
          </a:r>
          <a:r>
            <a:rPr lang="en-US"/>
            <a:t>The simulation was run by setting the order quantity to 300 and using cell D10 (Total Demand) as the output value. The results were obtained from SimVoi.1's Univariate Summary, which reported a mean total demand of 344.82 and a standard deviation of 78.60.</a:t>
          </a:r>
          <a:endParaRPr lang="en-US" sz="1100"/>
        </a:p>
        <a:p>
          <a:endParaRPr lang="en-US" sz="1100"/>
        </a:p>
        <a:p>
          <a:r>
            <a:rPr lang="en-US" sz="1100" b="0" i="0" u="none" strike="noStrike">
              <a:solidFill>
                <a:schemeClr val="dk1"/>
              </a:solidFill>
              <a:effectLst/>
              <a:latin typeface="+mn-lt"/>
              <a:ea typeface="+mn-ea"/>
              <a:cs typeface="+mn-cs"/>
            </a:rPr>
            <a:t>B.)</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The probability distribution for the total profit when 300 suits are ordered is skewed to the left. The estimate of the expected profit in this case is $14,912.87. This result was obtained by setting the order quantity to 300 and rerunning the Monte Carlo simulation </a:t>
          </a:r>
          <a:r>
            <a:rPr lang="en-US" sz="1100" b="0" i="0">
              <a:solidFill>
                <a:schemeClr val="dk1"/>
              </a:solidFill>
              <a:effectLst/>
              <a:latin typeface="+mn-lt"/>
              <a:ea typeface="+mn-ea"/>
              <a:cs typeface="+mn-cs"/>
            </a:rPr>
            <a:t>using cell J10 (Total Profit) as the output value</a:t>
          </a:r>
          <a:r>
            <a:rPr lang="en-US" sz="1100" b="0" i="0" u="none" strike="noStrike">
              <a:solidFill>
                <a:schemeClr val="dk1"/>
              </a:solidFill>
              <a:effectLst/>
              <a:latin typeface="+mn-lt"/>
              <a:ea typeface="+mn-ea"/>
              <a:cs typeface="+mn-cs"/>
            </a:rPr>
            <a:t> to determine the new expected profit and its distribution. The skewed distribution and low bars show the risks that the suits do not sell and have low demand, while the highest bar shows the maximum profit that all 300 suits could potentially sell for. </a:t>
          </a:r>
        </a:p>
        <a:p>
          <a:endParaRPr lang="en-US" sz="1100" b="0" i="0" u="none" strike="noStrike">
            <a:solidFill>
              <a:schemeClr val="dk1"/>
            </a:solidFill>
            <a:effectLst/>
            <a:latin typeface="+mn-lt"/>
            <a:ea typeface="+mn-ea"/>
            <a:cs typeface="+mn-cs"/>
          </a:endParaRPr>
        </a:p>
        <a:p>
          <a:pPr rtl="0"/>
          <a:r>
            <a:rPr lang="en-US" sz="1100" b="0" i="0" u="none" strike="noStrike">
              <a:solidFill>
                <a:schemeClr val="dk1"/>
              </a:solidFill>
              <a:effectLst/>
              <a:latin typeface="+mn-lt"/>
              <a:ea typeface="+mn-ea"/>
              <a:cs typeface="+mn-cs"/>
            </a:rPr>
            <a:t>C.) The probability that 300 suits will be sold within four months at either half or full price is 70% based on the Sim Voi model. This was</a:t>
          </a:r>
          <a:r>
            <a:rPr lang="en-US" sz="1100" b="0" i="0" u="none" strike="noStrike" baseline="0">
              <a:solidFill>
                <a:schemeClr val="dk1"/>
              </a:solidFill>
              <a:effectLst/>
              <a:latin typeface="+mn-lt"/>
              <a:ea typeface="+mn-ea"/>
              <a:cs typeface="+mn-cs"/>
            </a:rPr>
            <a:t> done</a:t>
          </a:r>
          <a:r>
            <a:rPr lang="en-US" sz="1100" b="0" i="0" u="none" strike="noStrike">
              <a:solidFill>
                <a:schemeClr val="dk1"/>
              </a:solidFill>
              <a:effectLst/>
              <a:latin typeface="+mn-lt"/>
              <a:ea typeface="+mn-ea"/>
              <a:cs typeface="+mn-cs"/>
            </a:rPr>
            <a:t> by setting the order quantity to 300 and rerunning the Monte Carlo simulation with the output value cell set to D10 (Total Demand). Then, finding the number of trials that sold all 300 suits using the Sim Voi Monte Carlo simulation data and the formula, =COUNTIF('c.) SimVoi.3 Simulation Data'!B2:B5001, "&gt;=300"), where B2 through B5001 are the total demands per each trial. After that the found value of 3543 was divided by the 5000 total trials to get 70%. </a:t>
          </a:r>
          <a:endParaRPr lang="en-US" b="0">
            <a:effectLst/>
          </a:endParaRPr>
        </a:p>
        <a:p>
          <a:endParaRPr lang="en-US"/>
        </a:p>
        <a:p>
          <a:r>
            <a:rPr lang="en-US"/>
            <a:t>D.) In order to identify the order quantity that yields the highest expected total profit, the Monte Carlo simulation was rerun for each of the following order quantities: 275, 300, 325, 350, 375, 400, 425, 450, 475, and 500. </a:t>
          </a:r>
          <a:r>
            <a:rPr lang="en-US" sz="1100" b="0" i="0">
              <a:solidFill>
                <a:schemeClr val="dk1"/>
              </a:solidFill>
              <a:effectLst/>
              <a:latin typeface="+mn-lt"/>
              <a:ea typeface="+mn-ea"/>
              <a:cs typeface="+mn-cs"/>
            </a:rPr>
            <a:t>This was repeated by adjusting the order quantity to the specified value and rerunning the Monte Carlo simulation, using cell J10 (Total Profit) as the</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output value.</a:t>
          </a:r>
          <a:br>
            <a:rPr lang="en-US"/>
          </a:br>
          <a:endParaRPr lang="en-US"/>
        </a:p>
        <a:p>
          <a:r>
            <a:rPr lang="en-US" sz="1100"/>
            <a:t>E.) </a:t>
          </a:r>
          <a:r>
            <a:rPr lang="en-US"/>
            <a:t>The 4th</a:t>
          </a:r>
          <a:r>
            <a:rPr lang="en-US" baseline="0"/>
            <a:t> month </a:t>
          </a:r>
          <a:r>
            <a:rPr lang="en-US"/>
            <a:t>demand was modified from RandTriangular(40, 80, 160) to RandTriangular(25, 50, 100) in cell C10, and the suit price was changed from $45 to $60 in cell A3.</a:t>
          </a:r>
          <a:r>
            <a:rPr lang="en-US" sz="1100" b="0" i="0" baseline="0">
              <a:solidFill>
                <a:schemeClr val="dk1"/>
              </a:solidFill>
              <a:effectLst/>
              <a:latin typeface="+mn-lt"/>
              <a:ea typeface="+mn-ea"/>
              <a:cs typeface="+mn-cs"/>
            </a:rPr>
            <a:t> After making these changes, the Monte Carlo simulation was rerun, using cell J10 (Total Profit) as the output value. </a:t>
          </a:r>
          <a:r>
            <a:rPr lang="en-US"/>
            <a:t>Based on the Monte Carlo simulation results, the $60 sale strategy in the final month yields a higher expected profit of approximately $15,199.00, compared to $14,912.87 under the $45 sale strategy</a:t>
          </a:r>
          <a:r>
            <a:rPr lang="en-US" baseline="0"/>
            <a:t>, </a:t>
          </a:r>
          <a:r>
            <a:rPr lang="en-US"/>
            <a:t>an improvement of about $286.13.</a:t>
          </a:r>
        </a:p>
        <a:p>
          <a:endParaRPr lang="en-US" sz="1100"/>
        </a:p>
        <a:p>
          <a:endParaRPr lang="en-US" sz="1100"/>
        </a:p>
        <a:p>
          <a:endParaRPr lang="en-US" sz="1100"/>
        </a:p>
        <a:p>
          <a:endParaRPr lang="en-US" sz="1100"/>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38100</xdr:colOff>
      <xdr:row>11</xdr:row>
      <xdr:rowOff>38100</xdr:rowOff>
    </xdr:from>
    <xdr:to>
      <xdr:col>8</xdr:col>
      <xdr:colOff>787400</xdr:colOff>
      <xdr:row>27</xdr:row>
      <xdr:rowOff>146050</xdr:rowOff>
    </xdr:to>
    <xdr:graphicFrame macro="">
      <xdr:nvGraphicFramePr>
        <xdr:cNvPr id="2" name="Chart 1">
          <a:extLst>
            <a:ext uri="{FF2B5EF4-FFF2-40B4-BE49-F238E27FC236}">
              <a16:creationId xmlns:a16="http://schemas.microsoft.com/office/drawing/2014/main" id="{65E33950-B7C3-50B9-F394-4DAEED649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38100</xdr:colOff>
      <xdr:row>11</xdr:row>
      <xdr:rowOff>38100</xdr:rowOff>
    </xdr:from>
    <xdr:to>
      <xdr:col>8</xdr:col>
      <xdr:colOff>787400</xdr:colOff>
      <xdr:row>27</xdr:row>
      <xdr:rowOff>146050</xdr:rowOff>
    </xdr:to>
    <xdr:graphicFrame macro="">
      <xdr:nvGraphicFramePr>
        <xdr:cNvPr id="2" name="Chart 1">
          <a:extLst>
            <a:ext uri="{FF2B5EF4-FFF2-40B4-BE49-F238E27FC236}">
              <a16:creationId xmlns:a16="http://schemas.microsoft.com/office/drawing/2014/main" id="{67354A98-A3F8-06BA-C72D-B7A0FB255A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104775</xdr:colOff>
      <xdr:row>5</xdr:row>
      <xdr:rowOff>152400</xdr:rowOff>
    </xdr:from>
    <xdr:to>
      <xdr:col>13</xdr:col>
      <xdr:colOff>409575</xdr:colOff>
      <xdr:row>20</xdr:row>
      <xdr:rowOff>133350</xdr:rowOff>
    </xdr:to>
    <xdr:graphicFrame macro="">
      <xdr:nvGraphicFramePr>
        <xdr:cNvPr id="6" name="Chart 5">
          <a:extLst>
            <a:ext uri="{FF2B5EF4-FFF2-40B4-BE49-F238E27FC236}">
              <a16:creationId xmlns:a16="http://schemas.microsoft.com/office/drawing/2014/main" id="{9907AF2E-6299-058D-C1BD-5E1249B60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38100</xdr:colOff>
      <xdr:row>11</xdr:row>
      <xdr:rowOff>38100</xdr:rowOff>
    </xdr:from>
    <xdr:to>
      <xdr:col>8</xdr:col>
      <xdr:colOff>787400</xdr:colOff>
      <xdr:row>27</xdr:row>
      <xdr:rowOff>146050</xdr:rowOff>
    </xdr:to>
    <xdr:graphicFrame macro="">
      <xdr:nvGraphicFramePr>
        <xdr:cNvPr id="2" name="Chart 1">
          <a:extLst>
            <a:ext uri="{FF2B5EF4-FFF2-40B4-BE49-F238E27FC236}">
              <a16:creationId xmlns:a16="http://schemas.microsoft.com/office/drawing/2014/main" id="{8D4BD3BC-0733-65F5-CA54-A28224F3D0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38100</xdr:colOff>
      <xdr:row>11</xdr:row>
      <xdr:rowOff>38100</xdr:rowOff>
    </xdr:from>
    <xdr:to>
      <xdr:col>8</xdr:col>
      <xdr:colOff>831850</xdr:colOff>
      <xdr:row>27</xdr:row>
      <xdr:rowOff>146050</xdr:rowOff>
    </xdr:to>
    <xdr:graphicFrame macro="">
      <xdr:nvGraphicFramePr>
        <xdr:cNvPr id="2" name="Chart 1">
          <a:extLst>
            <a:ext uri="{FF2B5EF4-FFF2-40B4-BE49-F238E27FC236}">
              <a16:creationId xmlns:a16="http://schemas.microsoft.com/office/drawing/2014/main" id="{774C3E1E-BB54-B6E1-D362-E4F627139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38100</xdr:colOff>
      <xdr:row>11</xdr:row>
      <xdr:rowOff>38100</xdr:rowOff>
    </xdr:from>
    <xdr:to>
      <xdr:col>8</xdr:col>
      <xdr:colOff>831850</xdr:colOff>
      <xdr:row>27</xdr:row>
      <xdr:rowOff>146050</xdr:rowOff>
    </xdr:to>
    <xdr:graphicFrame macro="">
      <xdr:nvGraphicFramePr>
        <xdr:cNvPr id="2" name="Chart 1">
          <a:extLst>
            <a:ext uri="{FF2B5EF4-FFF2-40B4-BE49-F238E27FC236}">
              <a16:creationId xmlns:a16="http://schemas.microsoft.com/office/drawing/2014/main" id="{955F7899-CB6D-7865-B484-352FF8DAD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38100</xdr:colOff>
      <xdr:row>11</xdr:row>
      <xdr:rowOff>38100</xdr:rowOff>
    </xdr:from>
    <xdr:to>
      <xdr:col>8</xdr:col>
      <xdr:colOff>787400</xdr:colOff>
      <xdr:row>27</xdr:row>
      <xdr:rowOff>146050</xdr:rowOff>
    </xdr:to>
    <xdr:graphicFrame macro="">
      <xdr:nvGraphicFramePr>
        <xdr:cNvPr id="2" name="Chart 1">
          <a:extLst>
            <a:ext uri="{FF2B5EF4-FFF2-40B4-BE49-F238E27FC236}">
              <a16:creationId xmlns:a16="http://schemas.microsoft.com/office/drawing/2014/main" id="{4146490F-A94D-C307-F4E3-68A58199A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38100</xdr:colOff>
      <xdr:row>11</xdr:row>
      <xdr:rowOff>38100</xdr:rowOff>
    </xdr:from>
    <xdr:to>
      <xdr:col>8</xdr:col>
      <xdr:colOff>831850</xdr:colOff>
      <xdr:row>27</xdr:row>
      <xdr:rowOff>146050</xdr:rowOff>
    </xdr:to>
    <xdr:graphicFrame macro="">
      <xdr:nvGraphicFramePr>
        <xdr:cNvPr id="2" name="Chart 1">
          <a:extLst>
            <a:ext uri="{FF2B5EF4-FFF2-40B4-BE49-F238E27FC236}">
              <a16:creationId xmlns:a16="http://schemas.microsoft.com/office/drawing/2014/main" id="{50979382-31EE-5161-793C-EB503888E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38100</xdr:colOff>
      <xdr:row>11</xdr:row>
      <xdr:rowOff>38100</xdr:rowOff>
    </xdr:from>
    <xdr:to>
      <xdr:col>8</xdr:col>
      <xdr:colOff>787400</xdr:colOff>
      <xdr:row>27</xdr:row>
      <xdr:rowOff>146050</xdr:rowOff>
    </xdr:to>
    <xdr:graphicFrame macro="">
      <xdr:nvGraphicFramePr>
        <xdr:cNvPr id="2" name="Chart 1">
          <a:extLst>
            <a:ext uri="{FF2B5EF4-FFF2-40B4-BE49-F238E27FC236}">
              <a16:creationId xmlns:a16="http://schemas.microsoft.com/office/drawing/2014/main" id="{962B944C-DC3A-A393-4BEF-CF7006329A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38100</xdr:colOff>
      <xdr:row>11</xdr:row>
      <xdr:rowOff>38100</xdr:rowOff>
    </xdr:from>
    <xdr:to>
      <xdr:col>8</xdr:col>
      <xdr:colOff>831850</xdr:colOff>
      <xdr:row>27</xdr:row>
      <xdr:rowOff>146050</xdr:rowOff>
    </xdr:to>
    <xdr:graphicFrame macro="">
      <xdr:nvGraphicFramePr>
        <xdr:cNvPr id="2" name="Chart 1">
          <a:extLst>
            <a:ext uri="{FF2B5EF4-FFF2-40B4-BE49-F238E27FC236}">
              <a16:creationId xmlns:a16="http://schemas.microsoft.com/office/drawing/2014/main" id="{721000D7-63B3-F35A-B4B2-690DD5920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38100</xdr:colOff>
      <xdr:row>11</xdr:row>
      <xdr:rowOff>38100</xdr:rowOff>
    </xdr:from>
    <xdr:to>
      <xdr:col>8</xdr:col>
      <xdr:colOff>831850</xdr:colOff>
      <xdr:row>27</xdr:row>
      <xdr:rowOff>146050</xdr:rowOff>
    </xdr:to>
    <xdr:graphicFrame macro="">
      <xdr:nvGraphicFramePr>
        <xdr:cNvPr id="2" name="Chart 1">
          <a:extLst>
            <a:ext uri="{FF2B5EF4-FFF2-40B4-BE49-F238E27FC236}">
              <a16:creationId xmlns:a16="http://schemas.microsoft.com/office/drawing/2014/main" id="{EE5014AA-6840-9A82-24F2-47A58E5883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4</xdr:col>
      <xdr:colOff>38100</xdr:colOff>
      <xdr:row>11</xdr:row>
      <xdr:rowOff>38100</xdr:rowOff>
    </xdr:from>
    <xdr:to>
      <xdr:col>8</xdr:col>
      <xdr:colOff>831850</xdr:colOff>
      <xdr:row>27</xdr:row>
      <xdr:rowOff>146050</xdr:rowOff>
    </xdr:to>
    <xdr:graphicFrame macro="">
      <xdr:nvGraphicFramePr>
        <xdr:cNvPr id="2" name="Chart 1">
          <a:extLst>
            <a:ext uri="{FF2B5EF4-FFF2-40B4-BE49-F238E27FC236}">
              <a16:creationId xmlns:a16="http://schemas.microsoft.com/office/drawing/2014/main" id="{902C1407-9D09-FE41-FBB2-61E48FFF59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4</xdr:col>
      <xdr:colOff>38100</xdr:colOff>
      <xdr:row>11</xdr:row>
      <xdr:rowOff>38100</xdr:rowOff>
    </xdr:from>
    <xdr:to>
      <xdr:col>8</xdr:col>
      <xdr:colOff>831850</xdr:colOff>
      <xdr:row>27</xdr:row>
      <xdr:rowOff>146050</xdr:rowOff>
    </xdr:to>
    <xdr:graphicFrame macro="">
      <xdr:nvGraphicFramePr>
        <xdr:cNvPr id="2" name="Chart 1">
          <a:extLst>
            <a:ext uri="{FF2B5EF4-FFF2-40B4-BE49-F238E27FC236}">
              <a16:creationId xmlns:a16="http://schemas.microsoft.com/office/drawing/2014/main" id="{1728F91D-A730-3AB7-4D82-97245A6CE9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4</xdr:col>
      <xdr:colOff>38100</xdr:colOff>
      <xdr:row>11</xdr:row>
      <xdr:rowOff>38100</xdr:rowOff>
    </xdr:from>
    <xdr:to>
      <xdr:col>8</xdr:col>
      <xdr:colOff>831850</xdr:colOff>
      <xdr:row>27</xdr:row>
      <xdr:rowOff>146050</xdr:rowOff>
    </xdr:to>
    <xdr:graphicFrame macro="">
      <xdr:nvGraphicFramePr>
        <xdr:cNvPr id="2" name="Chart 1">
          <a:extLst>
            <a:ext uri="{FF2B5EF4-FFF2-40B4-BE49-F238E27FC236}">
              <a16:creationId xmlns:a16="http://schemas.microsoft.com/office/drawing/2014/main" id="{F468AEE4-BE59-500A-7174-12EBB85FF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sion%20T\OneDrive\Desktop\SimVoi%20313\SimVoi-313-Student-Addin.xlam" TargetMode="External"/><Relationship Id="rId1" Type="http://schemas.openxmlformats.org/officeDocument/2006/relationships/externalLinkPath" Target="SimVoi%20313/SimVoi-313-Student-Addin.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mpty"/>
      <sheetName val="Issues"/>
      <sheetName val="Naming Conventions"/>
      <sheetName val="SimVoi Help"/>
      <sheetName val="SimVoi License"/>
      <sheetName val="UnivariateText"/>
      <sheetName val="BivariateText"/>
      <sheetName val="Bins"/>
    </sheetNames>
    <definedNames>
      <definedName name="RANDNORMAL"/>
      <definedName name="RandTriangular"/>
      <definedName name="RandUniform"/>
    </defined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5CC25-14EE-4C85-AC48-02E66E9877D2}">
  <dimension ref="A1:X55"/>
  <sheetViews>
    <sheetView tabSelected="1" topLeftCell="C1" workbookViewId="0">
      <selection activeCell="J10" sqref="J10"/>
    </sheetView>
  </sheetViews>
  <sheetFormatPr defaultRowHeight="14.5"/>
  <cols>
    <col min="1" max="1" width="7.7265625" customWidth="1"/>
    <col min="2" max="2" width="23.90625" bestFit="1" customWidth="1"/>
    <col min="3" max="3" width="28.08984375" bestFit="1" customWidth="1"/>
    <col min="4" max="4" width="13.26953125" bestFit="1" customWidth="1"/>
    <col min="5" max="5" width="13.453125" bestFit="1" customWidth="1"/>
    <col min="6" max="6" width="26.54296875" bestFit="1" customWidth="1"/>
    <col min="7" max="7" width="13.90625" bestFit="1" customWidth="1"/>
    <col min="8" max="8" width="27" bestFit="1" customWidth="1"/>
    <col min="9" max="10" width="11.81640625" bestFit="1" customWidth="1"/>
    <col min="11" max="11" width="16.36328125" bestFit="1" customWidth="1"/>
    <col min="12" max="12" width="12.54296875" bestFit="1" customWidth="1"/>
    <col min="14" max="14" width="12.453125" bestFit="1" customWidth="1"/>
  </cols>
  <sheetData>
    <row r="1" spans="1:12">
      <c r="A1" s="20">
        <v>30</v>
      </c>
      <c r="B1" s="21" t="s">
        <v>3</v>
      </c>
      <c r="C1" t="s">
        <v>58</v>
      </c>
      <c r="L1" s="1" t="s">
        <v>49</v>
      </c>
    </row>
    <row r="2" spans="1:12">
      <c r="A2" s="20">
        <v>90</v>
      </c>
      <c r="B2" s="22" t="s">
        <v>4</v>
      </c>
    </row>
    <row r="3" spans="1:12">
      <c r="A3" s="20">
        <v>45</v>
      </c>
      <c r="B3" s="22" t="s">
        <v>5</v>
      </c>
    </row>
    <row r="4" spans="1:12">
      <c r="A4" s="20" cm="1">
        <f t="array" aca="1" ref="A4" ca="1">[1]!RandUniform(20,30)</f>
        <v>26.454103345262865</v>
      </c>
      <c r="B4" s="22" t="s">
        <v>6</v>
      </c>
    </row>
    <row r="5" spans="1:12">
      <c r="A5" s="20">
        <v>300</v>
      </c>
      <c r="B5" s="22" t="s">
        <v>7</v>
      </c>
    </row>
    <row r="9" spans="1:12">
      <c r="A9" s="23" t="s">
        <v>0</v>
      </c>
      <c r="B9" s="23" t="s">
        <v>8</v>
      </c>
      <c r="C9" s="23" t="s">
        <v>54</v>
      </c>
      <c r="D9" s="23" t="s">
        <v>1</v>
      </c>
      <c r="E9" s="23" t="s">
        <v>11</v>
      </c>
      <c r="F9" s="23" t="s">
        <v>9</v>
      </c>
      <c r="G9" s="23" t="s">
        <v>10</v>
      </c>
      <c r="H9" s="23" t="s">
        <v>12</v>
      </c>
      <c r="I9" s="23" t="s">
        <v>13</v>
      </c>
      <c r="J9" s="23" t="s">
        <v>2</v>
      </c>
    </row>
    <row r="10" spans="1:12">
      <c r="A10">
        <v>1</v>
      </c>
      <c r="B10" cm="1">
        <f t="array" aca="1" ref="B10" ca="1">[1]!RANDNORMAL(250, 75)</f>
        <v>230.12444237913357</v>
      </c>
      <c r="C10" cm="1">
        <f t="array" aca="1" ref="C10" ca="1">[1]!RandTriangular(40,80,160)</f>
        <v>105.98202746248214</v>
      </c>
      <c r="D10">
        <f ca="1">B10+C10</f>
        <v>336.10646984161571</v>
      </c>
      <c r="E10">
        <f ca="1">MIN(B10, $A$5)</f>
        <v>230.12444237913357</v>
      </c>
      <c r="F10">
        <f ca="1">$A$5-E10</f>
        <v>69.875557620866431</v>
      </c>
      <c r="G10">
        <f ca="1">MIN(C10, F10)</f>
        <v>69.875557620866431</v>
      </c>
      <c r="H10">
        <f ca="1">F10-G10</f>
        <v>0</v>
      </c>
      <c r="I10" cm="1">
        <f t="array" aca="1" ref="I10" ca="1">[1]!RandUniform(20,30)</f>
        <v>24.749595650820805</v>
      </c>
      <c r="J10">
        <f ca="1">(E10*$A$2 + G10*$A$3 + H10*I10) - ($A$5*$A$1)</f>
        <v>14855.599907061012</v>
      </c>
    </row>
    <row r="14" spans="1:12">
      <c r="E14" t="s">
        <v>49</v>
      </c>
    </row>
    <row r="16" spans="1:12">
      <c r="C16" s="14"/>
      <c r="D16" s="1" t="s">
        <v>49</v>
      </c>
      <c r="E16" s="15" t="s">
        <v>49</v>
      </c>
    </row>
    <row r="17" spans="3:5">
      <c r="C17" s="14"/>
      <c r="D17" s="1" t="s">
        <v>49</v>
      </c>
      <c r="E17" s="15" t="s">
        <v>49</v>
      </c>
    </row>
    <row r="54" spans="19:24">
      <c r="S54" s="18"/>
      <c r="T54" s="18"/>
      <c r="U54" s="18"/>
      <c r="V54" s="18"/>
      <c r="W54" s="18"/>
      <c r="X54" s="18"/>
    </row>
    <row r="55" spans="19:24">
      <c r="S55" s="18"/>
      <c r="T55" s="18"/>
      <c r="U55" s="18"/>
      <c r="V55" s="18"/>
      <c r="W55" s="18"/>
      <c r="X55" s="18"/>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9EBBA-1038-462F-A0AA-95021D3329E8}">
  <dimension ref="B7"/>
  <sheetViews>
    <sheetView workbookViewId="0">
      <selection activeCell="S9" sqref="S9"/>
    </sheetView>
  </sheetViews>
  <sheetFormatPr defaultRowHeight="14.5"/>
  <sheetData>
    <row r="7" spans="2:2">
      <c r="B7" t="s">
        <v>49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7DA2C-A7FA-406F-BC51-3F343C3FA8F7}">
  <sheetPr>
    <pageSetUpPr fitToPage="1"/>
  </sheetPr>
  <dimension ref="A1:I45"/>
  <sheetViews>
    <sheetView workbookViewId="0">
      <selection activeCell="A3" sqref="A3:B5"/>
    </sheetView>
  </sheetViews>
  <sheetFormatPr defaultRowHeight="14.5"/>
  <cols>
    <col min="1" max="1" width="15.36328125" bestFit="1" customWidth="1"/>
    <col min="2" max="2" width="12.54296875" bestFit="1" customWidth="1"/>
    <col min="5" max="5" width="10.453125" bestFit="1" customWidth="1"/>
    <col min="6" max="6" width="12.54296875" bestFit="1" customWidth="1"/>
    <col min="7" max="7" width="25.6328125" customWidth="1"/>
    <col min="8" max="8" width="13" bestFit="1" customWidth="1"/>
    <col min="9" max="9" width="11.81640625" bestFit="1" customWidth="1"/>
  </cols>
  <sheetData>
    <row r="1" spans="1:9">
      <c r="A1" s="5" t="s">
        <v>31</v>
      </c>
      <c r="E1" s="5" t="s">
        <v>42</v>
      </c>
      <c r="H1" t="s">
        <v>32</v>
      </c>
      <c r="I1" s="2">
        <v>344.81538193596384</v>
      </c>
    </row>
    <row r="2" spans="1:9">
      <c r="A2" s="5" t="s">
        <v>15</v>
      </c>
      <c r="E2" t="s">
        <v>16</v>
      </c>
      <c r="F2" s="7">
        <v>45777</v>
      </c>
      <c r="H2" t="s">
        <v>33</v>
      </c>
      <c r="I2" s="2">
        <v>78.599164026655558</v>
      </c>
    </row>
    <row r="3" spans="1:9">
      <c r="B3" s="3" t="s">
        <v>1</v>
      </c>
      <c r="E3" t="s">
        <v>17</v>
      </c>
      <c r="F3" s="8">
        <v>0.55687500000000001</v>
      </c>
      <c r="H3" t="s">
        <v>34</v>
      </c>
      <c r="I3" s="2">
        <v>1.1115600375768377</v>
      </c>
    </row>
    <row r="4" spans="1:9">
      <c r="A4" t="s">
        <v>32</v>
      </c>
      <c r="B4" s="12">
        <v>344.81538193596384</v>
      </c>
      <c r="E4" t="s">
        <v>43</v>
      </c>
      <c r="F4" s="6">
        <v>5000</v>
      </c>
      <c r="H4" t="s">
        <v>35</v>
      </c>
      <c r="I4" s="11">
        <v>4.954714130092943E-2</v>
      </c>
    </row>
    <row r="5" spans="1:9">
      <c r="A5" t="s">
        <v>33</v>
      </c>
      <c r="B5" s="12">
        <v>78.599164026655558</v>
      </c>
      <c r="E5" t="s">
        <v>21</v>
      </c>
      <c r="F5" s="6">
        <v>857907947</v>
      </c>
      <c r="I5" s="2"/>
    </row>
    <row r="6" spans="1:9">
      <c r="A6" t="s">
        <v>34</v>
      </c>
      <c r="B6" s="12">
        <v>1.1115600375768377</v>
      </c>
      <c r="E6" t="s">
        <v>19</v>
      </c>
      <c r="F6" s="6" t="s">
        <v>50</v>
      </c>
      <c r="H6" t="s">
        <v>36</v>
      </c>
      <c r="I6" s="2">
        <v>69.098248742247065</v>
      </c>
    </row>
    <row r="7" spans="1:9">
      <c r="A7" t="s">
        <v>35</v>
      </c>
      <c r="B7" s="13">
        <v>4.954714130092943E-2</v>
      </c>
      <c r="E7" s="5" t="s">
        <v>15</v>
      </c>
      <c r="F7" s="6"/>
      <c r="H7" t="s">
        <v>37</v>
      </c>
      <c r="I7" s="2">
        <v>290.98337894704008</v>
      </c>
    </row>
    <row r="8" spans="1:9">
      <c r="A8" s="5" t="s">
        <v>18</v>
      </c>
      <c r="B8" s="12"/>
      <c r="E8" t="s">
        <v>44</v>
      </c>
      <c r="F8" s="6" t="s">
        <v>23</v>
      </c>
      <c r="H8" t="s">
        <v>38</v>
      </c>
      <c r="I8" s="2">
        <v>344.54944781344682</v>
      </c>
    </row>
    <row r="9" spans="1:9">
      <c r="A9" t="s">
        <v>36</v>
      </c>
      <c r="B9" s="12">
        <v>69.098248742247065</v>
      </c>
      <c r="E9" t="s">
        <v>45</v>
      </c>
      <c r="F9" s="6" t="s">
        <v>51</v>
      </c>
      <c r="H9" t="s">
        <v>39</v>
      </c>
      <c r="I9" s="2">
        <v>397.43162314721656</v>
      </c>
    </row>
    <row r="10" spans="1:9">
      <c r="A10" t="s">
        <v>37</v>
      </c>
      <c r="B10" s="12">
        <v>290.98337894704008</v>
      </c>
      <c r="E10" t="s">
        <v>46</v>
      </c>
      <c r="F10" s="6" t="s">
        <v>1</v>
      </c>
      <c r="H10" t="s">
        <v>40</v>
      </c>
      <c r="I10" s="2">
        <v>661.98806804757271</v>
      </c>
    </row>
    <row r="11" spans="1:9">
      <c r="A11" t="s">
        <v>38</v>
      </c>
      <c r="B11" s="12">
        <v>344.54944781344682</v>
      </c>
      <c r="E11" s="5" t="s">
        <v>18</v>
      </c>
    </row>
    <row r="12" spans="1:9">
      <c r="A12" t="s">
        <v>39</v>
      </c>
      <c r="B12" s="12">
        <v>397.43162314721656</v>
      </c>
    </row>
    <row r="13" spans="1:9">
      <c r="A13" t="s">
        <v>40</v>
      </c>
      <c r="B13" s="12">
        <v>661.98806804757271</v>
      </c>
    </row>
    <row r="14" spans="1:9">
      <c r="B14" s="12"/>
    </row>
    <row r="15" spans="1:9">
      <c r="B15" s="12"/>
    </row>
    <row r="16" spans="1:9">
      <c r="A16" t="s">
        <v>41</v>
      </c>
      <c r="B16" s="12"/>
    </row>
    <row r="17" spans="1:6">
      <c r="B17" s="12" t="s">
        <v>1</v>
      </c>
    </row>
    <row r="18" spans="1:6">
      <c r="A18" s="10">
        <v>0</v>
      </c>
      <c r="B18" s="12">
        <v>69.098248742247065</v>
      </c>
    </row>
    <row r="19" spans="1:6">
      <c r="A19" s="10">
        <v>5.0000000000000001E-3</v>
      </c>
      <c r="B19" s="12">
        <v>142.97754386289583</v>
      </c>
    </row>
    <row r="20" spans="1:6">
      <c r="A20" s="10">
        <v>0.01</v>
      </c>
      <c r="B20" s="12">
        <v>161.91279124969975</v>
      </c>
    </row>
    <row r="21" spans="1:6">
      <c r="A21" s="10">
        <v>2.5000000000000001E-2</v>
      </c>
      <c r="B21" s="12">
        <v>190.15419183951047</v>
      </c>
    </row>
    <row r="22" spans="1:6">
      <c r="A22" s="10">
        <v>0.05</v>
      </c>
      <c r="B22" s="12">
        <v>216.8669383872242</v>
      </c>
    </row>
    <row r="23" spans="1:6">
      <c r="A23" s="10">
        <v>0.1</v>
      </c>
      <c r="B23" s="12">
        <v>244.74039522660632</v>
      </c>
    </row>
    <row r="24" spans="1:6">
      <c r="A24" s="10">
        <v>0.15</v>
      </c>
      <c r="B24" s="12">
        <v>262.65489430857002</v>
      </c>
    </row>
    <row r="25" spans="1:6">
      <c r="A25" s="10">
        <v>0.2</v>
      </c>
      <c r="B25" s="12">
        <v>279.06772094142161</v>
      </c>
    </row>
    <row r="26" spans="1:6">
      <c r="A26" s="10">
        <v>0.25</v>
      </c>
      <c r="B26" s="12">
        <v>290.98337894704008</v>
      </c>
    </row>
    <row r="27" spans="1:6">
      <c r="A27" s="10">
        <v>0.3</v>
      </c>
      <c r="B27" s="12">
        <v>303.93014150589386</v>
      </c>
    </row>
    <row r="28" spans="1:6">
      <c r="A28" s="10">
        <v>0.35</v>
      </c>
      <c r="B28" s="12">
        <v>314.5986829859811</v>
      </c>
    </row>
    <row r="29" spans="1:6">
      <c r="A29" s="10">
        <v>0.4</v>
      </c>
      <c r="B29" s="12">
        <v>324.6144428331927</v>
      </c>
    </row>
    <row r="30" spans="1:6">
      <c r="A30" s="10">
        <v>0.45</v>
      </c>
      <c r="B30" s="12">
        <v>335.52732145999846</v>
      </c>
      <c r="E30" s="3" t="s">
        <v>47</v>
      </c>
      <c r="F30" s="3" t="s">
        <v>48</v>
      </c>
    </row>
    <row r="31" spans="1:6">
      <c r="A31" s="10">
        <v>0.5</v>
      </c>
      <c r="B31" s="12">
        <v>344.54944781344682</v>
      </c>
      <c r="E31" s="2">
        <v>0</v>
      </c>
      <c r="F31">
        <v>0</v>
      </c>
    </row>
    <row r="32" spans="1:6">
      <c r="A32" s="10">
        <v>0.55000000000000004</v>
      </c>
      <c r="B32" s="12">
        <v>354.32882091833528</v>
      </c>
      <c r="E32" s="2">
        <v>50</v>
      </c>
      <c r="F32">
        <v>0</v>
      </c>
    </row>
    <row r="33" spans="1:6">
      <c r="A33" s="10">
        <v>0.6</v>
      </c>
      <c r="B33" s="12">
        <v>363.69045559565416</v>
      </c>
      <c r="E33" s="2">
        <v>100</v>
      </c>
      <c r="F33">
        <v>2</v>
      </c>
    </row>
    <row r="34" spans="1:6">
      <c r="A34" s="10">
        <v>0.65</v>
      </c>
      <c r="B34" s="12">
        <v>374.6143894706359</v>
      </c>
      <c r="E34" s="2">
        <v>150</v>
      </c>
      <c r="F34">
        <v>28</v>
      </c>
    </row>
    <row r="35" spans="1:6">
      <c r="A35" s="10">
        <v>0.7</v>
      </c>
      <c r="B35" s="12">
        <v>385.26493965100229</v>
      </c>
      <c r="E35" s="2">
        <v>200</v>
      </c>
      <c r="F35">
        <v>135</v>
      </c>
    </row>
    <row r="36" spans="1:6">
      <c r="A36" s="10">
        <v>0.75</v>
      </c>
      <c r="B36" s="12">
        <v>397.43162314721656</v>
      </c>
      <c r="E36" s="2">
        <v>250</v>
      </c>
      <c r="F36">
        <v>408</v>
      </c>
    </row>
    <row r="37" spans="1:6">
      <c r="A37" s="10">
        <v>0.8</v>
      </c>
      <c r="B37" s="12">
        <v>410.93922927553302</v>
      </c>
      <c r="E37" s="2">
        <v>300</v>
      </c>
      <c r="F37">
        <v>848</v>
      </c>
    </row>
    <row r="38" spans="1:6">
      <c r="A38" s="10">
        <v>0.85</v>
      </c>
      <c r="B38" s="12">
        <v>426.0156218771416</v>
      </c>
      <c r="E38" s="2">
        <v>350</v>
      </c>
      <c r="F38">
        <v>1224</v>
      </c>
    </row>
    <row r="39" spans="1:6">
      <c r="A39" s="10">
        <v>0.9</v>
      </c>
      <c r="B39" s="12">
        <v>444.32245140583967</v>
      </c>
      <c r="E39" s="2">
        <v>400</v>
      </c>
      <c r="F39">
        <v>1151</v>
      </c>
    </row>
    <row r="40" spans="1:6">
      <c r="A40" s="10">
        <v>0.95</v>
      </c>
      <c r="B40" s="12">
        <v>474.58437485124483</v>
      </c>
      <c r="E40" s="2">
        <v>450</v>
      </c>
      <c r="F40">
        <v>770</v>
      </c>
    </row>
    <row r="41" spans="1:6">
      <c r="A41" s="10">
        <v>0.97499999999999998</v>
      </c>
      <c r="B41" s="12">
        <v>501.81461477875752</v>
      </c>
      <c r="E41" s="2">
        <v>500</v>
      </c>
      <c r="F41">
        <v>300</v>
      </c>
    </row>
    <row r="42" spans="1:6">
      <c r="A42" s="10">
        <v>0.99</v>
      </c>
      <c r="B42" s="12">
        <v>533.66634142668124</v>
      </c>
      <c r="E42" s="2">
        <v>550</v>
      </c>
      <c r="F42">
        <v>106</v>
      </c>
    </row>
    <row r="43" spans="1:6">
      <c r="A43" s="10">
        <v>0.995</v>
      </c>
      <c r="B43" s="12">
        <v>552.68562003280203</v>
      </c>
      <c r="E43" s="2">
        <v>600</v>
      </c>
      <c r="F43">
        <v>21</v>
      </c>
    </row>
    <row r="44" spans="1:6">
      <c r="A44" s="10">
        <v>1</v>
      </c>
      <c r="B44" s="12">
        <v>661.98806804757271</v>
      </c>
      <c r="E44" s="2">
        <v>650</v>
      </c>
      <c r="F44">
        <v>6</v>
      </c>
    </row>
    <row r="45" spans="1:6">
      <c r="E45" s="2">
        <v>700</v>
      </c>
      <c r="F45">
        <v>1</v>
      </c>
    </row>
  </sheetData>
  <pageMargins left="0.7" right="0.7" top="0.75" bottom="0.75" header="0.3" footer="0.3"/>
  <pageSetup orientation="portrait" verticalDpi="300" r:id="rId1"/>
  <headerFooter>
    <oddHeader>&amp;L&amp;"Arial,Bold"SimVoi 313 Student Version&amp;R&amp;"Arial,Bold"Only For Students And Instructors</oddHeader>
    <oddFooter>&amp;L&amp;"Arial,Bold"Not For Commercial Use&amp;R&amp;"Arial,Bold"SimVoi.com</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6CE90-2339-4ECC-9C1E-4DB52604DB0E}">
  <sheetPr>
    <pageSetUpPr fitToPage="1"/>
  </sheetPr>
  <dimension ref="A1:I51"/>
  <sheetViews>
    <sheetView topLeftCell="A7" workbookViewId="0">
      <selection activeCell="D21" sqref="D21"/>
    </sheetView>
  </sheetViews>
  <sheetFormatPr defaultRowHeight="14.5"/>
  <cols>
    <col min="1" max="1" width="15.36328125" bestFit="1" customWidth="1"/>
    <col min="2" max="2" width="11.81640625" bestFit="1" customWidth="1"/>
    <col min="5" max="5" width="10.453125" bestFit="1" customWidth="1"/>
    <col min="6" max="6" width="10.81640625" bestFit="1" customWidth="1"/>
    <col min="7" max="7" width="25.6328125" customWidth="1"/>
    <col min="8" max="8" width="13" bestFit="1" customWidth="1"/>
    <col min="9" max="9" width="11.81640625" bestFit="1" customWidth="1"/>
  </cols>
  <sheetData>
    <row r="1" spans="1:9">
      <c r="A1" s="5" t="s">
        <v>31</v>
      </c>
      <c r="E1" s="5" t="s">
        <v>42</v>
      </c>
      <c r="H1" t="s">
        <v>32</v>
      </c>
      <c r="I1" s="2">
        <v>14912.873395495606</v>
      </c>
    </row>
    <row r="2" spans="1:9">
      <c r="A2" s="5" t="s">
        <v>15</v>
      </c>
      <c r="E2" t="s">
        <v>16</v>
      </c>
      <c r="F2" s="7">
        <v>45777</v>
      </c>
      <c r="H2" t="s">
        <v>33</v>
      </c>
      <c r="I2" s="2">
        <v>3177.5583708648123</v>
      </c>
    </row>
    <row r="3" spans="1:9">
      <c r="B3" s="3" t="s">
        <v>2</v>
      </c>
      <c r="E3" t="s">
        <v>17</v>
      </c>
      <c r="F3" s="8">
        <v>0.55491898148148144</v>
      </c>
      <c r="H3" t="s">
        <v>34</v>
      </c>
      <c r="I3" s="2">
        <v>44.937461433091741</v>
      </c>
    </row>
    <row r="4" spans="1:9">
      <c r="A4" t="s">
        <v>32</v>
      </c>
      <c r="B4" s="12">
        <v>14912.873395495606</v>
      </c>
      <c r="E4" t="s">
        <v>43</v>
      </c>
      <c r="F4" s="6">
        <v>5000</v>
      </c>
      <c r="H4" t="s">
        <v>35</v>
      </c>
      <c r="I4" s="11">
        <v>-1.1449376944003773</v>
      </c>
    </row>
    <row r="5" spans="1:9">
      <c r="A5" t="s">
        <v>33</v>
      </c>
      <c r="B5" s="12">
        <v>3177.5583708648123</v>
      </c>
      <c r="E5" t="s">
        <v>21</v>
      </c>
      <c r="F5" s="6">
        <v>2087241321</v>
      </c>
      <c r="I5" s="2"/>
    </row>
    <row r="6" spans="1:9">
      <c r="A6" t="s">
        <v>34</v>
      </c>
      <c r="B6" s="12">
        <v>44.937461433091741</v>
      </c>
      <c r="E6" t="s">
        <v>19</v>
      </c>
      <c r="F6" s="6" t="s">
        <v>50</v>
      </c>
      <c r="H6" t="s">
        <v>36</v>
      </c>
      <c r="I6" s="2">
        <v>535.80630369244682</v>
      </c>
    </row>
    <row r="7" spans="1:9">
      <c r="A7" t="s">
        <v>35</v>
      </c>
      <c r="B7" s="13">
        <v>-1.1449376944003773</v>
      </c>
      <c r="E7" s="5" t="s">
        <v>15</v>
      </c>
      <c r="F7" s="6"/>
      <c r="H7" t="s">
        <v>37</v>
      </c>
      <c r="I7" s="2">
        <v>13157.761426514331</v>
      </c>
    </row>
    <row r="8" spans="1:9">
      <c r="A8" s="5" t="s">
        <v>18</v>
      </c>
      <c r="B8" s="12"/>
      <c r="E8" t="s">
        <v>44</v>
      </c>
      <c r="F8" s="6" t="s">
        <v>23</v>
      </c>
      <c r="H8" t="s">
        <v>38</v>
      </c>
      <c r="I8" s="2">
        <v>15689.854122683773</v>
      </c>
    </row>
    <row r="9" spans="1:9">
      <c r="A9" t="s">
        <v>36</v>
      </c>
      <c r="B9" s="12">
        <v>535.80630369244682</v>
      </c>
      <c r="E9" t="s">
        <v>45</v>
      </c>
      <c r="F9" s="6" t="s">
        <v>25</v>
      </c>
      <c r="H9" t="s">
        <v>39</v>
      </c>
      <c r="I9" s="2">
        <v>17961.135853318257</v>
      </c>
    </row>
    <row r="10" spans="1:9">
      <c r="A10" t="s">
        <v>37</v>
      </c>
      <c r="B10" s="12">
        <v>13157.761426514331</v>
      </c>
      <c r="E10" t="s">
        <v>46</v>
      </c>
      <c r="F10" s="6" t="s">
        <v>2</v>
      </c>
      <c r="H10" t="s">
        <v>40</v>
      </c>
      <c r="I10" s="2">
        <v>18000</v>
      </c>
    </row>
    <row r="11" spans="1:9">
      <c r="A11" t="s">
        <v>38</v>
      </c>
      <c r="B11" s="12">
        <v>15689.854122683773</v>
      </c>
      <c r="E11" s="5" t="s">
        <v>18</v>
      </c>
    </row>
    <row r="12" spans="1:9">
      <c r="A12" t="s">
        <v>39</v>
      </c>
      <c r="B12" s="12">
        <v>17961.135853318257</v>
      </c>
    </row>
    <row r="13" spans="1:9">
      <c r="A13" t="s">
        <v>40</v>
      </c>
      <c r="B13" s="12">
        <v>18000</v>
      </c>
    </row>
    <row r="14" spans="1:9">
      <c r="B14" s="12"/>
    </row>
    <row r="15" spans="1:9">
      <c r="B15" s="12"/>
    </row>
    <row r="16" spans="1:9">
      <c r="A16" t="s">
        <v>41</v>
      </c>
      <c r="B16" s="12"/>
    </row>
    <row r="17" spans="1:6">
      <c r="B17" s="12" t="s">
        <v>2</v>
      </c>
    </row>
    <row r="18" spans="1:6">
      <c r="A18" s="10">
        <v>0</v>
      </c>
      <c r="B18" s="12">
        <v>535.80630369244682</v>
      </c>
    </row>
    <row r="19" spans="1:6">
      <c r="A19" s="10">
        <v>5.0000000000000001E-3</v>
      </c>
      <c r="B19" s="12">
        <v>4020.1689877361409</v>
      </c>
    </row>
    <row r="20" spans="1:6">
      <c r="A20" s="10">
        <v>0.01</v>
      </c>
      <c r="B20" s="12">
        <v>5459.6591036366899</v>
      </c>
    </row>
    <row r="21" spans="1:6">
      <c r="A21" s="10">
        <v>2.5000000000000001E-2</v>
      </c>
      <c r="B21" s="12">
        <v>7277.8358737598719</v>
      </c>
    </row>
    <row r="22" spans="1:6">
      <c r="A22" s="10">
        <v>0.05</v>
      </c>
      <c r="B22" s="12">
        <v>8609.9991943387158</v>
      </c>
    </row>
    <row r="23" spans="1:6">
      <c r="A23" s="10">
        <v>0.1</v>
      </c>
      <c r="B23" s="12">
        <v>10194.455142623137</v>
      </c>
    </row>
    <row r="24" spans="1:6">
      <c r="A24" s="10">
        <v>0.15</v>
      </c>
      <c r="B24" s="12">
        <v>11374.017144130252</v>
      </c>
    </row>
    <row r="25" spans="1:6">
      <c r="A25" s="10">
        <v>0.2</v>
      </c>
      <c r="B25" s="12">
        <v>12299.858238641145</v>
      </c>
    </row>
    <row r="26" spans="1:6">
      <c r="A26" s="10">
        <v>0.25</v>
      </c>
      <c r="B26" s="12">
        <v>13157.761426514331</v>
      </c>
    </row>
    <row r="27" spans="1:6">
      <c r="A27" s="10">
        <v>0.3</v>
      </c>
      <c r="B27" s="12">
        <v>13867.213741571633</v>
      </c>
    </row>
    <row r="28" spans="1:6">
      <c r="A28" s="10">
        <v>0.35</v>
      </c>
      <c r="B28" s="12">
        <v>14358.592060325533</v>
      </c>
    </row>
    <row r="29" spans="1:6">
      <c r="A29" s="10">
        <v>0.4</v>
      </c>
      <c r="B29" s="12">
        <v>14838.991599326349</v>
      </c>
    </row>
    <row r="30" spans="1:6">
      <c r="A30" s="10">
        <v>0.45</v>
      </c>
      <c r="B30" s="12">
        <v>15284.968714681887</v>
      </c>
      <c r="E30" s="3" t="s">
        <v>47</v>
      </c>
      <c r="F30" s="3" t="s">
        <v>48</v>
      </c>
    </row>
    <row r="31" spans="1:6">
      <c r="A31" s="10">
        <v>0.5</v>
      </c>
      <c r="B31" s="12">
        <v>15689.854122683773</v>
      </c>
      <c r="E31" s="2">
        <v>0</v>
      </c>
      <c r="F31">
        <v>0</v>
      </c>
    </row>
    <row r="32" spans="1:6">
      <c r="A32" s="10">
        <v>0.55000000000000004</v>
      </c>
      <c r="B32" s="12">
        <v>16115.026915945746</v>
      </c>
      <c r="E32" s="2">
        <v>1000</v>
      </c>
      <c r="F32">
        <v>5</v>
      </c>
    </row>
    <row r="33" spans="1:6">
      <c r="A33" s="10">
        <v>0.6</v>
      </c>
      <c r="B33" s="12">
        <v>16510.559011493613</v>
      </c>
      <c r="E33" s="2">
        <v>2000</v>
      </c>
      <c r="F33">
        <v>3</v>
      </c>
    </row>
    <row r="34" spans="1:6">
      <c r="A34" s="10">
        <v>0.65</v>
      </c>
      <c r="B34" s="12">
        <v>16937.413669705693</v>
      </c>
      <c r="E34" s="2">
        <v>3000</v>
      </c>
      <c r="F34">
        <v>7</v>
      </c>
    </row>
    <row r="35" spans="1:6">
      <c r="A35" s="10">
        <v>0.7</v>
      </c>
      <c r="B35" s="12">
        <v>17445.166058406889</v>
      </c>
      <c r="E35" s="2">
        <v>4000</v>
      </c>
      <c r="F35">
        <v>9</v>
      </c>
    </row>
    <row r="36" spans="1:6">
      <c r="A36" s="10">
        <v>0.75</v>
      </c>
      <c r="B36" s="12">
        <v>17961.135853318257</v>
      </c>
      <c r="E36" s="2">
        <v>5000</v>
      </c>
      <c r="F36">
        <v>17</v>
      </c>
    </row>
    <row r="37" spans="1:6">
      <c r="A37" s="10">
        <v>0.8</v>
      </c>
      <c r="B37" s="12">
        <v>18000</v>
      </c>
      <c r="E37" s="2">
        <v>6000</v>
      </c>
      <c r="F37">
        <v>26</v>
      </c>
    </row>
    <row r="38" spans="1:6">
      <c r="A38" s="10">
        <v>0.85</v>
      </c>
      <c r="B38" s="12">
        <v>18000</v>
      </c>
      <c r="E38" s="2">
        <v>7000</v>
      </c>
      <c r="F38">
        <v>41</v>
      </c>
    </row>
    <row r="39" spans="1:6">
      <c r="A39" s="10">
        <v>0.9</v>
      </c>
      <c r="B39" s="12">
        <v>18000</v>
      </c>
      <c r="E39" s="2">
        <v>8000</v>
      </c>
      <c r="F39">
        <v>68</v>
      </c>
    </row>
    <row r="40" spans="1:6">
      <c r="A40" s="10">
        <v>0.95</v>
      </c>
      <c r="B40" s="12">
        <v>18000</v>
      </c>
      <c r="E40" s="2">
        <v>9000</v>
      </c>
      <c r="F40">
        <v>120</v>
      </c>
    </row>
    <row r="41" spans="1:6">
      <c r="A41" s="10">
        <v>0.97499999999999998</v>
      </c>
      <c r="B41" s="12">
        <v>18000</v>
      </c>
      <c r="E41" s="2">
        <v>10000</v>
      </c>
      <c r="F41">
        <v>172</v>
      </c>
    </row>
    <row r="42" spans="1:6">
      <c r="A42" s="10">
        <v>0.99</v>
      </c>
      <c r="B42" s="12">
        <v>18000</v>
      </c>
      <c r="E42" s="2">
        <v>11000</v>
      </c>
      <c r="F42">
        <v>189</v>
      </c>
    </row>
    <row r="43" spans="1:6">
      <c r="A43" s="10">
        <v>0.995</v>
      </c>
      <c r="B43" s="12">
        <v>18000</v>
      </c>
      <c r="E43" s="2">
        <v>12000</v>
      </c>
      <c r="F43">
        <v>258</v>
      </c>
    </row>
    <row r="44" spans="1:6">
      <c r="A44" s="10">
        <v>1</v>
      </c>
      <c r="B44" s="12">
        <v>18000</v>
      </c>
      <c r="E44" s="2">
        <v>13000</v>
      </c>
      <c r="F44">
        <v>278</v>
      </c>
    </row>
    <row r="45" spans="1:6">
      <c r="E45" s="2">
        <v>14000</v>
      </c>
      <c r="F45">
        <v>382</v>
      </c>
    </row>
    <row r="46" spans="1:6">
      <c r="E46" s="2">
        <v>15000</v>
      </c>
      <c r="F46">
        <v>525</v>
      </c>
    </row>
    <row r="47" spans="1:6">
      <c r="E47" s="2">
        <v>16000</v>
      </c>
      <c r="F47">
        <v>585</v>
      </c>
    </row>
    <row r="48" spans="1:6">
      <c r="E48" s="2">
        <v>17000</v>
      </c>
      <c r="F48">
        <v>590</v>
      </c>
    </row>
    <row r="49" spans="5:6">
      <c r="E49" s="2">
        <v>18000</v>
      </c>
      <c r="F49">
        <v>1725</v>
      </c>
    </row>
    <row r="50" spans="5:6">
      <c r="E50" s="2">
        <v>19000</v>
      </c>
      <c r="F50">
        <v>0</v>
      </c>
    </row>
    <row r="51" spans="5:6">
      <c r="E51" s="2">
        <v>20000</v>
      </c>
      <c r="F51">
        <v>0</v>
      </c>
    </row>
  </sheetData>
  <pageMargins left="0.7" right="0.7" top="0.75" bottom="0.75" header="0.3" footer="0.3"/>
  <pageSetup orientation="portrait" verticalDpi="300" r:id="rId1"/>
  <headerFooter>
    <oddHeader>&amp;L&amp;"Arial,Bold"SimVoi 313 Student Version&amp;R&amp;"Arial,Bold"Only For Students And Instructors</oddHeader>
    <oddFooter>&amp;L&amp;"Arial,Bold"Not For Commercial Use&amp;R&amp;"Arial,Bold"SimVoi.com</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6CE52-4F4C-4C5C-A591-967469311515}">
  <sheetPr>
    <pageSetUpPr fitToPage="1"/>
  </sheetPr>
  <dimension ref="A1:H5001"/>
  <sheetViews>
    <sheetView workbookViewId="0">
      <selection activeCell="N29" sqref="N29"/>
    </sheetView>
  </sheetViews>
  <sheetFormatPr defaultRowHeight="14.5"/>
  <cols>
    <col min="1" max="1" width="4.81640625" bestFit="1" customWidth="1"/>
    <col min="2" max="2" width="12.54296875" bestFit="1" customWidth="1"/>
    <col min="4" max="4" width="21.6328125" bestFit="1" customWidth="1"/>
    <col min="6" max="6" width="24.453125" bestFit="1" customWidth="1"/>
  </cols>
  <sheetData>
    <row r="1" spans="1:8">
      <c r="A1" s="3" t="s">
        <v>0</v>
      </c>
      <c r="B1" s="4" t="s">
        <v>1</v>
      </c>
      <c r="D1" s="5" t="s">
        <v>14</v>
      </c>
      <c r="H1" t="s">
        <v>27</v>
      </c>
    </row>
    <row r="2" spans="1:8">
      <c r="A2">
        <v>1</v>
      </c>
      <c r="B2" s="2">
        <v>228.03489971999937</v>
      </c>
      <c r="D2" s="5" t="s">
        <v>15</v>
      </c>
      <c r="H2" t="s">
        <v>28</v>
      </c>
    </row>
    <row r="3" spans="1:8">
      <c r="A3">
        <v>2</v>
      </c>
      <c r="B3" s="2">
        <v>472.09920199519195</v>
      </c>
      <c r="D3" s="6" t="s">
        <v>16</v>
      </c>
      <c r="E3" s="6"/>
      <c r="F3" s="7">
        <v>45777</v>
      </c>
      <c r="H3" t="s">
        <v>29</v>
      </c>
    </row>
    <row r="4" spans="1:8">
      <c r="A4">
        <v>3</v>
      </c>
      <c r="B4" s="2">
        <v>309.09662588112974</v>
      </c>
      <c r="D4" s="6" t="s">
        <v>17</v>
      </c>
      <c r="E4" s="6"/>
      <c r="F4" s="8">
        <v>0.55929398148148146</v>
      </c>
      <c r="H4" t="s">
        <v>30</v>
      </c>
    </row>
    <row r="5" spans="1:8">
      <c r="A5">
        <v>4</v>
      </c>
      <c r="B5" s="2">
        <v>285.0467649639636</v>
      </c>
      <c r="D5" s="9" t="s">
        <v>18</v>
      </c>
      <c r="E5" s="6"/>
      <c r="F5" s="6"/>
    </row>
    <row r="6" spans="1:8">
      <c r="A6">
        <v>5</v>
      </c>
      <c r="B6" s="2">
        <v>269.20740631419687</v>
      </c>
      <c r="D6" s="6" t="s">
        <v>19</v>
      </c>
      <c r="E6" s="6"/>
      <c r="F6" s="6" t="s">
        <v>50</v>
      </c>
    </row>
    <row r="7" spans="1:8">
      <c r="A7">
        <v>6</v>
      </c>
      <c r="B7" s="2">
        <v>430.687248706356</v>
      </c>
      <c r="D7" s="6"/>
      <c r="E7" s="6"/>
      <c r="F7" s="6"/>
    </row>
    <row r="8" spans="1:8">
      <c r="A8">
        <v>7</v>
      </c>
      <c r="B8" s="2">
        <v>319.8485415515517</v>
      </c>
      <c r="D8" s="6" t="s">
        <v>20</v>
      </c>
      <c r="E8" s="6"/>
      <c r="F8" s="6">
        <v>5000</v>
      </c>
    </row>
    <row r="9" spans="1:8">
      <c r="A9">
        <v>8</v>
      </c>
      <c r="B9" s="2">
        <v>341.65416805294336</v>
      </c>
      <c r="D9" s="6" t="s">
        <v>21</v>
      </c>
      <c r="E9" s="6"/>
      <c r="F9" s="6">
        <v>1142339666</v>
      </c>
    </row>
    <row r="10" spans="1:8">
      <c r="A10">
        <v>9</v>
      </c>
      <c r="B10" s="2">
        <v>350.78569742331246</v>
      </c>
      <c r="D10" s="6"/>
      <c r="E10" s="6"/>
      <c r="F10" s="6"/>
    </row>
    <row r="11" spans="1:8">
      <c r="A11">
        <v>10</v>
      </c>
      <c r="B11" s="2">
        <v>459.8465040268502</v>
      </c>
      <c r="D11" s="6" t="s">
        <v>22</v>
      </c>
      <c r="E11" s="6"/>
      <c r="F11" s="6" t="s">
        <v>55</v>
      </c>
    </row>
    <row r="12" spans="1:8">
      <c r="A12">
        <v>11</v>
      </c>
      <c r="B12" s="2">
        <v>247.47145392588536</v>
      </c>
      <c r="D12" s="6" t="s">
        <v>24</v>
      </c>
      <c r="E12" s="6"/>
      <c r="F12" s="6" t="s">
        <v>51</v>
      </c>
    </row>
    <row r="13" spans="1:8">
      <c r="A13">
        <v>12</v>
      </c>
      <c r="B13" s="2">
        <v>253.79657656484477</v>
      </c>
      <c r="D13" s="6" t="s">
        <v>26</v>
      </c>
      <c r="E13" s="6"/>
      <c r="F13" s="6" t="s">
        <v>1</v>
      </c>
    </row>
    <row r="14" spans="1:8">
      <c r="A14">
        <v>13</v>
      </c>
      <c r="B14" s="2">
        <v>385.64973942770899</v>
      </c>
      <c r="D14" s="6"/>
      <c r="E14" s="6"/>
      <c r="F14" s="6"/>
    </row>
    <row r="15" spans="1:8">
      <c r="A15">
        <v>14</v>
      </c>
      <c r="B15" s="2">
        <v>213.87181496250284</v>
      </c>
      <c r="D15" s="6"/>
      <c r="E15" s="6"/>
      <c r="F15" s="6"/>
    </row>
    <row r="16" spans="1:8">
      <c r="A16">
        <v>15</v>
      </c>
      <c r="B16" s="2">
        <v>302.99484771750838</v>
      </c>
    </row>
    <row r="17" spans="1:4">
      <c r="A17">
        <v>16</v>
      </c>
      <c r="B17" s="2">
        <v>198.24684805439034</v>
      </c>
    </row>
    <row r="18" spans="1:4">
      <c r="A18">
        <v>17</v>
      </c>
      <c r="B18" s="2">
        <v>163.50635404984664</v>
      </c>
    </row>
    <row r="19" spans="1:4">
      <c r="A19">
        <v>18</v>
      </c>
      <c r="B19" s="2">
        <v>383.70589755819606</v>
      </c>
    </row>
    <row r="20" spans="1:4">
      <c r="A20">
        <v>19</v>
      </c>
      <c r="B20" s="2">
        <v>320.28360089547493</v>
      </c>
    </row>
    <row r="21" spans="1:4">
      <c r="A21">
        <v>20</v>
      </c>
      <c r="B21" s="2">
        <v>375.77328111441869</v>
      </c>
      <c r="D21" s="17">
        <f>COUNTIF('c.) SimVoi.3 Simulation Data'!B2:B5001, "&gt;=300")</f>
        <v>3543</v>
      </c>
    </row>
    <row r="22" spans="1:4">
      <c r="A22">
        <v>21</v>
      </c>
      <c r="B22" s="2">
        <v>352.92904245235218</v>
      </c>
      <c r="D22" s="24">
        <f>D21/5000</f>
        <v>0.70860000000000001</v>
      </c>
    </row>
    <row r="23" spans="1:4">
      <c r="A23">
        <v>22</v>
      </c>
      <c r="B23" s="2">
        <v>390.61946466809366</v>
      </c>
    </row>
    <row r="24" spans="1:4">
      <c r="A24">
        <v>23</v>
      </c>
      <c r="B24" s="2">
        <v>359.64511275372371</v>
      </c>
    </row>
    <row r="25" spans="1:4">
      <c r="A25">
        <v>24</v>
      </c>
      <c r="B25" s="2">
        <v>388.36952269892595</v>
      </c>
    </row>
    <row r="26" spans="1:4">
      <c r="A26">
        <v>25</v>
      </c>
      <c r="B26" s="2">
        <v>412.93610173351613</v>
      </c>
    </row>
    <row r="27" spans="1:4">
      <c r="A27">
        <v>26</v>
      </c>
      <c r="B27" s="2">
        <v>294.21552840236228</v>
      </c>
    </row>
    <row r="28" spans="1:4">
      <c r="A28">
        <v>27</v>
      </c>
      <c r="B28" s="2">
        <v>141.35761409035553</v>
      </c>
    </row>
    <row r="29" spans="1:4">
      <c r="A29">
        <v>28</v>
      </c>
      <c r="B29" s="2">
        <v>351.69875574693503</v>
      </c>
    </row>
    <row r="30" spans="1:4">
      <c r="A30">
        <v>29</v>
      </c>
      <c r="B30" s="2">
        <v>325.76477124860742</v>
      </c>
    </row>
    <row r="31" spans="1:4">
      <c r="A31">
        <v>30</v>
      </c>
      <c r="B31" s="2">
        <v>376.82818300277381</v>
      </c>
    </row>
    <row r="32" spans="1:4">
      <c r="A32">
        <v>31</v>
      </c>
      <c r="B32" s="2">
        <v>506.57333571215634</v>
      </c>
    </row>
    <row r="33" spans="1:2">
      <c r="A33">
        <v>32</v>
      </c>
      <c r="B33" s="2">
        <v>234.81229285061875</v>
      </c>
    </row>
    <row r="34" spans="1:2">
      <c r="A34">
        <v>33</v>
      </c>
      <c r="B34" s="2">
        <v>421.15696860070256</v>
      </c>
    </row>
    <row r="35" spans="1:2">
      <c r="A35">
        <v>34</v>
      </c>
      <c r="B35" s="2">
        <v>303.87295325641401</v>
      </c>
    </row>
    <row r="36" spans="1:2">
      <c r="A36">
        <v>35</v>
      </c>
      <c r="B36" s="2">
        <v>399.15643713059364</v>
      </c>
    </row>
    <row r="37" spans="1:2">
      <c r="A37">
        <v>36</v>
      </c>
      <c r="B37" s="2">
        <v>414.67959682878688</v>
      </c>
    </row>
    <row r="38" spans="1:2">
      <c r="A38">
        <v>37</v>
      </c>
      <c r="B38" s="2">
        <v>429.1988555704051</v>
      </c>
    </row>
    <row r="39" spans="1:2">
      <c r="A39">
        <v>38</v>
      </c>
      <c r="B39" s="2">
        <v>272.47138526081079</v>
      </c>
    </row>
    <row r="40" spans="1:2">
      <c r="A40">
        <v>39</v>
      </c>
      <c r="B40" s="2">
        <v>330.83414062306855</v>
      </c>
    </row>
    <row r="41" spans="1:2">
      <c r="A41">
        <v>40</v>
      </c>
      <c r="B41" s="2">
        <v>339.50269977227373</v>
      </c>
    </row>
    <row r="42" spans="1:2">
      <c r="A42">
        <v>41</v>
      </c>
      <c r="B42" s="2">
        <v>306.94873215538962</v>
      </c>
    </row>
    <row r="43" spans="1:2">
      <c r="A43">
        <v>42</v>
      </c>
      <c r="B43" s="2">
        <v>351.0672840042547</v>
      </c>
    </row>
    <row r="44" spans="1:2">
      <c r="A44">
        <v>43</v>
      </c>
      <c r="B44" s="2">
        <v>417.75039932975773</v>
      </c>
    </row>
    <row r="45" spans="1:2">
      <c r="A45">
        <v>44</v>
      </c>
      <c r="B45" s="2">
        <v>343.00669621548064</v>
      </c>
    </row>
    <row r="46" spans="1:2">
      <c r="A46">
        <v>45</v>
      </c>
      <c r="B46" s="2">
        <v>411.71776862752267</v>
      </c>
    </row>
    <row r="47" spans="1:2">
      <c r="A47">
        <v>46</v>
      </c>
      <c r="B47" s="2">
        <v>559.16380903875324</v>
      </c>
    </row>
    <row r="48" spans="1:2">
      <c r="A48">
        <v>47</v>
      </c>
      <c r="B48" s="2">
        <v>265.53184378055846</v>
      </c>
    </row>
    <row r="49" spans="1:2">
      <c r="A49">
        <v>48</v>
      </c>
      <c r="B49" s="2">
        <v>337.27070875408072</v>
      </c>
    </row>
    <row r="50" spans="1:2">
      <c r="A50">
        <v>49</v>
      </c>
      <c r="B50" s="2">
        <v>329.79846104703574</v>
      </c>
    </row>
    <row r="51" spans="1:2">
      <c r="A51">
        <v>50</v>
      </c>
      <c r="B51" s="2">
        <v>329.9035374473317</v>
      </c>
    </row>
    <row r="52" spans="1:2">
      <c r="A52">
        <v>51</v>
      </c>
      <c r="B52" s="2">
        <v>280.54996295100642</v>
      </c>
    </row>
    <row r="53" spans="1:2">
      <c r="A53">
        <v>52</v>
      </c>
      <c r="B53" s="2">
        <v>214.43909679441083</v>
      </c>
    </row>
    <row r="54" spans="1:2">
      <c r="A54">
        <v>53</v>
      </c>
      <c r="B54" s="2">
        <v>425.71802278431335</v>
      </c>
    </row>
    <row r="55" spans="1:2">
      <c r="A55">
        <v>54</v>
      </c>
      <c r="B55" s="2">
        <v>420.3358452180953</v>
      </c>
    </row>
    <row r="56" spans="1:2">
      <c r="A56">
        <v>55</v>
      </c>
      <c r="B56" s="2">
        <v>266.63437900708118</v>
      </c>
    </row>
    <row r="57" spans="1:2">
      <c r="A57">
        <v>56</v>
      </c>
      <c r="B57" s="2">
        <v>256.30568647936423</v>
      </c>
    </row>
    <row r="58" spans="1:2">
      <c r="A58">
        <v>57</v>
      </c>
      <c r="B58" s="2">
        <v>397.02506561542305</v>
      </c>
    </row>
    <row r="59" spans="1:2">
      <c r="A59">
        <v>58</v>
      </c>
      <c r="B59" s="2">
        <v>409.11725346273857</v>
      </c>
    </row>
    <row r="60" spans="1:2">
      <c r="A60">
        <v>59</v>
      </c>
      <c r="B60" s="2">
        <v>261.52309280788643</v>
      </c>
    </row>
    <row r="61" spans="1:2">
      <c r="A61">
        <v>60</v>
      </c>
      <c r="B61" s="2">
        <v>456.05884656219689</v>
      </c>
    </row>
    <row r="62" spans="1:2">
      <c r="A62">
        <v>61</v>
      </c>
      <c r="B62" s="2">
        <v>254.09758882502751</v>
      </c>
    </row>
    <row r="63" spans="1:2">
      <c r="A63">
        <v>62</v>
      </c>
      <c r="B63" s="2">
        <v>389.22591030877186</v>
      </c>
    </row>
    <row r="64" spans="1:2">
      <c r="A64">
        <v>63</v>
      </c>
      <c r="B64" s="2">
        <v>358.23007170409142</v>
      </c>
    </row>
    <row r="65" spans="1:2">
      <c r="A65">
        <v>64</v>
      </c>
      <c r="B65" s="2">
        <v>255.10307906804186</v>
      </c>
    </row>
    <row r="66" spans="1:2">
      <c r="A66">
        <v>65</v>
      </c>
      <c r="B66" s="2">
        <v>323.34046783267979</v>
      </c>
    </row>
    <row r="67" spans="1:2">
      <c r="A67">
        <v>66</v>
      </c>
      <c r="B67" s="2">
        <v>192.16034084009164</v>
      </c>
    </row>
    <row r="68" spans="1:2">
      <c r="A68">
        <v>67</v>
      </c>
      <c r="B68" s="2">
        <v>242.43566925666593</v>
      </c>
    </row>
    <row r="69" spans="1:2">
      <c r="A69">
        <v>68</v>
      </c>
      <c r="B69" s="2">
        <v>374.11980431866527</v>
      </c>
    </row>
    <row r="70" spans="1:2">
      <c r="A70">
        <v>69</v>
      </c>
      <c r="B70" s="2">
        <v>354.34174157155599</v>
      </c>
    </row>
    <row r="71" spans="1:2">
      <c r="A71">
        <v>70</v>
      </c>
      <c r="B71" s="2">
        <v>445.57474018674247</v>
      </c>
    </row>
    <row r="72" spans="1:2">
      <c r="A72">
        <v>71</v>
      </c>
      <c r="B72" s="2">
        <v>449.24298543093687</v>
      </c>
    </row>
    <row r="73" spans="1:2">
      <c r="A73">
        <v>72</v>
      </c>
      <c r="B73" s="2">
        <v>366.96968472805105</v>
      </c>
    </row>
    <row r="74" spans="1:2">
      <c r="A74">
        <v>73</v>
      </c>
      <c r="B74" s="2">
        <v>272.22297658009586</v>
      </c>
    </row>
    <row r="75" spans="1:2">
      <c r="A75">
        <v>74</v>
      </c>
      <c r="B75" s="2">
        <v>395.16060542362965</v>
      </c>
    </row>
    <row r="76" spans="1:2">
      <c r="A76">
        <v>75</v>
      </c>
      <c r="B76" s="2">
        <v>306.09072563754802</v>
      </c>
    </row>
    <row r="77" spans="1:2">
      <c r="A77">
        <v>76</v>
      </c>
      <c r="B77" s="2">
        <v>311.07274270755357</v>
      </c>
    </row>
    <row r="78" spans="1:2">
      <c r="A78">
        <v>77</v>
      </c>
      <c r="B78" s="2">
        <v>397.32362599036878</v>
      </c>
    </row>
    <row r="79" spans="1:2">
      <c r="A79">
        <v>78</v>
      </c>
      <c r="B79" s="2">
        <v>356.02095003524926</v>
      </c>
    </row>
    <row r="80" spans="1:2">
      <c r="A80">
        <v>79</v>
      </c>
      <c r="B80" s="2">
        <v>405.21550369329668</v>
      </c>
    </row>
    <row r="81" spans="1:2">
      <c r="A81">
        <v>80</v>
      </c>
      <c r="B81" s="2">
        <v>295.50401782561073</v>
      </c>
    </row>
    <row r="82" spans="1:2">
      <c r="A82">
        <v>81</v>
      </c>
      <c r="B82" s="2">
        <v>391.14363448238214</v>
      </c>
    </row>
    <row r="83" spans="1:2">
      <c r="A83">
        <v>82</v>
      </c>
      <c r="B83" s="2">
        <v>452.19081997730461</v>
      </c>
    </row>
    <row r="84" spans="1:2">
      <c r="A84">
        <v>83</v>
      </c>
      <c r="B84" s="2">
        <v>364.8929661149831</v>
      </c>
    </row>
    <row r="85" spans="1:2">
      <c r="A85">
        <v>84</v>
      </c>
      <c r="B85" s="2">
        <v>277.38193498609701</v>
      </c>
    </row>
    <row r="86" spans="1:2">
      <c r="A86">
        <v>85</v>
      </c>
      <c r="B86" s="2">
        <v>416.08152826585751</v>
      </c>
    </row>
    <row r="87" spans="1:2">
      <c r="A87">
        <v>86</v>
      </c>
      <c r="B87" s="2">
        <v>413.74618224896233</v>
      </c>
    </row>
    <row r="88" spans="1:2">
      <c r="A88">
        <v>87</v>
      </c>
      <c r="B88" s="2">
        <v>269.19839954989232</v>
      </c>
    </row>
    <row r="89" spans="1:2">
      <c r="A89">
        <v>88</v>
      </c>
      <c r="B89" s="2">
        <v>437.44168811213331</v>
      </c>
    </row>
    <row r="90" spans="1:2">
      <c r="A90">
        <v>89</v>
      </c>
      <c r="B90" s="2">
        <v>471.4827632983521</v>
      </c>
    </row>
    <row r="91" spans="1:2">
      <c r="A91">
        <v>90</v>
      </c>
      <c r="B91" s="2">
        <v>280.93332439267198</v>
      </c>
    </row>
    <row r="92" spans="1:2">
      <c r="A92">
        <v>91</v>
      </c>
      <c r="B92" s="2">
        <v>392.45613835669047</v>
      </c>
    </row>
    <row r="93" spans="1:2">
      <c r="A93">
        <v>92</v>
      </c>
      <c r="B93" s="2">
        <v>403.935395464782</v>
      </c>
    </row>
    <row r="94" spans="1:2">
      <c r="A94">
        <v>93</v>
      </c>
      <c r="B94" s="2">
        <v>371.6639591398764</v>
      </c>
    </row>
    <row r="95" spans="1:2">
      <c r="A95">
        <v>94</v>
      </c>
      <c r="B95" s="2">
        <v>304.31050596470772</v>
      </c>
    </row>
    <row r="96" spans="1:2">
      <c r="A96">
        <v>95</v>
      </c>
      <c r="B96" s="2">
        <v>393.92438205688893</v>
      </c>
    </row>
    <row r="97" spans="1:2">
      <c r="A97">
        <v>96</v>
      </c>
      <c r="B97" s="2">
        <v>300.35953163469793</v>
      </c>
    </row>
    <row r="98" spans="1:2">
      <c r="A98">
        <v>97</v>
      </c>
      <c r="B98" s="2">
        <v>319.77351438633082</v>
      </c>
    </row>
    <row r="99" spans="1:2">
      <c r="A99">
        <v>98</v>
      </c>
      <c r="B99" s="2">
        <v>292.60710183978478</v>
      </c>
    </row>
    <row r="100" spans="1:2">
      <c r="A100">
        <v>99</v>
      </c>
      <c r="B100" s="2">
        <v>321.26450547977288</v>
      </c>
    </row>
    <row r="101" spans="1:2">
      <c r="A101">
        <v>100</v>
      </c>
      <c r="B101" s="2">
        <v>393.67417155187678</v>
      </c>
    </row>
    <row r="102" spans="1:2">
      <c r="A102">
        <v>101</v>
      </c>
      <c r="B102" s="2">
        <v>390.98496415028978</v>
      </c>
    </row>
    <row r="103" spans="1:2">
      <c r="A103">
        <v>102</v>
      </c>
      <c r="B103" s="2">
        <v>417.68649425877186</v>
      </c>
    </row>
    <row r="104" spans="1:2">
      <c r="A104">
        <v>103</v>
      </c>
      <c r="B104" s="2">
        <v>273.08520206331673</v>
      </c>
    </row>
    <row r="105" spans="1:2">
      <c r="A105">
        <v>104</v>
      </c>
      <c r="B105" s="2">
        <v>400.12168767542136</v>
      </c>
    </row>
    <row r="106" spans="1:2">
      <c r="A106">
        <v>105</v>
      </c>
      <c r="B106" s="2">
        <v>354.00797211959264</v>
      </c>
    </row>
    <row r="107" spans="1:2">
      <c r="A107">
        <v>106</v>
      </c>
      <c r="B107" s="2">
        <v>290.58548932052793</v>
      </c>
    </row>
    <row r="108" spans="1:2">
      <c r="A108">
        <v>107</v>
      </c>
      <c r="B108" s="2">
        <v>346.23112340086334</v>
      </c>
    </row>
    <row r="109" spans="1:2">
      <c r="A109">
        <v>108</v>
      </c>
      <c r="B109" s="2">
        <v>331.56501876816685</v>
      </c>
    </row>
    <row r="110" spans="1:2">
      <c r="A110">
        <v>109</v>
      </c>
      <c r="B110" s="2">
        <v>383.99162733517835</v>
      </c>
    </row>
    <row r="111" spans="1:2">
      <c r="A111">
        <v>110</v>
      </c>
      <c r="B111" s="2">
        <v>237.75254275021263</v>
      </c>
    </row>
    <row r="112" spans="1:2">
      <c r="A112">
        <v>111</v>
      </c>
      <c r="B112" s="2">
        <v>343.52288368051723</v>
      </c>
    </row>
    <row r="113" spans="1:2">
      <c r="A113">
        <v>112</v>
      </c>
      <c r="B113" s="2">
        <v>536.50184387095294</v>
      </c>
    </row>
    <row r="114" spans="1:2">
      <c r="A114">
        <v>113</v>
      </c>
      <c r="B114" s="2">
        <v>244.25461452960337</v>
      </c>
    </row>
    <row r="115" spans="1:2">
      <c r="A115">
        <v>114</v>
      </c>
      <c r="B115" s="2">
        <v>280.63708152063606</v>
      </c>
    </row>
    <row r="116" spans="1:2">
      <c r="A116">
        <v>115</v>
      </c>
      <c r="B116" s="2">
        <v>327.12417213121228</v>
      </c>
    </row>
    <row r="117" spans="1:2">
      <c r="A117">
        <v>116</v>
      </c>
      <c r="B117" s="2">
        <v>246.60097732786429</v>
      </c>
    </row>
    <row r="118" spans="1:2">
      <c r="A118">
        <v>117</v>
      </c>
      <c r="B118" s="2">
        <v>488.25541871570641</v>
      </c>
    </row>
    <row r="119" spans="1:2">
      <c r="A119">
        <v>118</v>
      </c>
      <c r="B119" s="2">
        <v>385.44595300964011</v>
      </c>
    </row>
    <row r="120" spans="1:2">
      <c r="A120">
        <v>119</v>
      </c>
      <c r="B120" s="2">
        <v>362.94641938279563</v>
      </c>
    </row>
    <row r="121" spans="1:2">
      <c r="A121">
        <v>120</v>
      </c>
      <c r="B121" s="2">
        <v>458.82096031981564</v>
      </c>
    </row>
    <row r="122" spans="1:2">
      <c r="A122">
        <v>121</v>
      </c>
      <c r="B122" s="2">
        <v>487.63879231477745</v>
      </c>
    </row>
    <row r="123" spans="1:2">
      <c r="A123">
        <v>122</v>
      </c>
      <c r="B123" s="2">
        <v>538.52811740546451</v>
      </c>
    </row>
    <row r="124" spans="1:2">
      <c r="A124">
        <v>123</v>
      </c>
      <c r="B124" s="2">
        <v>363.50000932459164</v>
      </c>
    </row>
    <row r="125" spans="1:2">
      <c r="A125">
        <v>124</v>
      </c>
      <c r="B125" s="2">
        <v>319.0038394072883</v>
      </c>
    </row>
    <row r="126" spans="1:2">
      <c r="A126">
        <v>125</v>
      </c>
      <c r="B126" s="2">
        <v>334.36742663662818</v>
      </c>
    </row>
    <row r="127" spans="1:2">
      <c r="A127">
        <v>126</v>
      </c>
      <c r="B127" s="2">
        <v>340.04220695185205</v>
      </c>
    </row>
    <row r="128" spans="1:2">
      <c r="A128">
        <v>127</v>
      </c>
      <c r="B128" s="2">
        <v>402.29909686218429</v>
      </c>
    </row>
    <row r="129" spans="1:2">
      <c r="A129">
        <v>128</v>
      </c>
      <c r="B129" s="2">
        <v>454.67081828901985</v>
      </c>
    </row>
    <row r="130" spans="1:2">
      <c r="A130">
        <v>129</v>
      </c>
      <c r="B130" s="2">
        <v>309.98915634702837</v>
      </c>
    </row>
    <row r="131" spans="1:2">
      <c r="A131">
        <v>130</v>
      </c>
      <c r="B131" s="2">
        <v>228.71046721035339</v>
      </c>
    </row>
    <row r="132" spans="1:2">
      <c r="A132">
        <v>131</v>
      </c>
      <c r="B132" s="2">
        <v>250.42600319156463</v>
      </c>
    </row>
    <row r="133" spans="1:2">
      <c r="A133">
        <v>132</v>
      </c>
      <c r="B133" s="2">
        <v>357.27640956009031</v>
      </c>
    </row>
    <row r="134" spans="1:2">
      <c r="A134">
        <v>133</v>
      </c>
      <c r="B134" s="2">
        <v>498.25328295383389</v>
      </c>
    </row>
    <row r="135" spans="1:2">
      <c r="A135">
        <v>134</v>
      </c>
      <c r="B135" s="2">
        <v>410.98421736261184</v>
      </c>
    </row>
    <row r="136" spans="1:2">
      <c r="A136">
        <v>135</v>
      </c>
      <c r="B136" s="2">
        <v>399.78762083493098</v>
      </c>
    </row>
    <row r="137" spans="1:2">
      <c r="A137">
        <v>136</v>
      </c>
      <c r="B137" s="2">
        <v>329.87731204306453</v>
      </c>
    </row>
    <row r="138" spans="1:2">
      <c r="A138">
        <v>137</v>
      </c>
      <c r="B138" s="2">
        <v>317.13373285799059</v>
      </c>
    </row>
    <row r="139" spans="1:2">
      <c r="A139">
        <v>138</v>
      </c>
      <c r="B139" s="2">
        <v>388.47998670140396</v>
      </c>
    </row>
    <row r="140" spans="1:2">
      <c r="A140">
        <v>139</v>
      </c>
      <c r="B140" s="2">
        <v>295.37291879234692</v>
      </c>
    </row>
    <row r="141" spans="1:2">
      <c r="A141">
        <v>140</v>
      </c>
      <c r="B141" s="2">
        <v>497.77566341931976</v>
      </c>
    </row>
    <row r="142" spans="1:2">
      <c r="A142">
        <v>141</v>
      </c>
      <c r="B142" s="2">
        <v>281.83454472580712</v>
      </c>
    </row>
    <row r="143" spans="1:2">
      <c r="A143">
        <v>142</v>
      </c>
      <c r="B143" s="2">
        <v>394.26662530885665</v>
      </c>
    </row>
    <row r="144" spans="1:2">
      <c r="A144">
        <v>143</v>
      </c>
      <c r="B144" s="2">
        <v>217.06673087151262</v>
      </c>
    </row>
    <row r="145" spans="1:2">
      <c r="A145">
        <v>144</v>
      </c>
      <c r="B145" s="2">
        <v>363.90559850058895</v>
      </c>
    </row>
    <row r="146" spans="1:2">
      <c r="A146">
        <v>145</v>
      </c>
      <c r="B146" s="2">
        <v>431.74242053986029</v>
      </c>
    </row>
    <row r="147" spans="1:2">
      <c r="A147">
        <v>146</v>
      </c>
      <c r="B147" s="2">
        <v>268.4690164890381</v>
      </c>
    </row>
    <row r="148" spans="1:2">
      <c r="A148">
        <v>147</v>
      </c>
      <c r="B148" s="2">
        <v>437.33568366504983</v>
      </c>
    </row>
    <row r="149" spans="1:2">
      <c r="A149">
        <v>148</v>
      </c>
      <c r="B149" s="2">
        <v>280.05013983411885</v>
      </c>
    </row>
    <row r="150" spans="1:2">
      <c r="A150">
        <v>149</v>
      </c>
      <c r="B150" s="2">
        <v>238.19728634094469</v>
      </c>
    </row>
    <row r="151" spans="1:2">
      <c r="A151">
        <v>150</v>
      </c>
      <c r="B151" s="2">
        <v>386.3281895854721</v>
      </c>
    </row>
    <row r="152" spans="1:2">
      <c r="A152">
        <v>151</v>
      </c>
      <c r="B152" s="2">
        <v>238.54041660757494</v>
      </c>
    </row>
    <row r="153" spans="1:2">
      <c r="A153">
        <v>152</v>
      </c>
      <c r="B153" s="2">
        <v>306.82415359284931</v>
      </c>
    </row>
    <row r="154" spans="1:2">
      <c r="A154">
        <v>153</v>
      </c>
      <c r="B154" s="2">
        <v>433.68590928381821</v>
      </c>
    </row>
    <row r="155" spans="1:2">
      <c r="A155">
        <v>154</v>
      </c>
      <c r="B155" s="2">
        <v>342.52577210650156</v>
      </c>
    </row>
    <row r="156" spans="1:2">
      <c r="A156">
        <v>155</v>
      </c>
      <c r="B156" s="2">
        <v>189.23601994064234</v>
      </c>
    </row>
    <row r="157" spans="1:2">
      <c r="A157">
        <v>156</v>
      </c>
      <c r="B157" s="2">
        <v>338.47933549198467</v>
      </c>
    </row>
    <row r="158" spans="1:2">
      <c r="A158">
        <v>157</v>
      </c>
      <c r="B158" s="2">
        <v>361.95429369666675</v>
      </c>
    </row>
    <row r="159" spans="1:2">
      <c r="A159">
        <v>158</v>
      </c>
      <c r="B159" s="2">
        <v>357.66904837824268</v>
      </c>
    </row>
    <row r="160" spans="1:2">
      <c r="A160">
        <v>159</v>
      </c>
      <c r="B160" s="2">
        <v>379.57426556769531</v>
      </c>
    </row>
    <row r="161" spans="1:2">
      <c r="A161">
        <v>160</v>
      </c>
      <c r="B161" s="2">
        <v>350.9460893931074</v>
      </c>
    </row>
    <row r="162" spans="1:2">
      <c r="A162">
        <v>161</v>
      </c>
      <c r="B162" s="2">
        <v>329.71514363435938</v>
      </c>
    </row>
    <row r="163" spans="1:2">
      <c r="A163">
        <v>162</v>
      </c>
      <c r="B163" s="2">
        <v>328.57354235473923</v>
      </c>
    </row>
    <row r="164" spans="1:2">
      <c r="A164">
        <v>163</v>
      </c>
      <c r="B164" s="2">
        <v>323.53061066920782</v>
      </c>
    </row>
    <row r="165" spans="1:2">
      <c r="A165">
        <v>164</v>
      </c>
      <c r="B165" s="2">
        <v>380.14105328413928</v>
      </c>
    </row>
    <row r="166" spans="1:2">
      <c r="A166">
        <v>165</v>
      </c>
      <c r="B166" s="2">
        <v>272.87068849577793</v>
      </c>
    </row>
    <row r="167" spans="1:2">
      <c r="A167">
        <v>166</v>
      </c>
      <c r="B167" s="2">
        <v>367.75909932747049</v>
      </c>
    </row>
    <row r="168" spans="1:2">
      <c r="A168">
        <v>167</v>
      </c>
      <c r="B168" s="2">
        <v>192.52065765984082</v>
      </c>
    </row>
    <row r="169" spans="1:2">
      <c r="A169">
        <v>168</v>
      </c>
      <c r="B169" s="2">
        <v>327.49163422605807</v>
      </c>
    </row>
    <row r="170" spans="1:2">
      <c r="A170">
        <v>169</v>
      </c>
      <c r="B170" s="2">
        <v>283.84039205194517</v>
      </c>
    </row>
    <row r="171" spans="1:2">
      <c r="A171">
        <v>170</v>
      </c>
      <c r="B171" s="2">
        <v>336.69868010813184</v>
      </c>
    </row>
    <row r="172" spans="1:2">
      <c r="A172">
        <v>171</v>
      </c>
      <c r="B172" s="2">
        <v>325.00139169200384</v>
      </c>
    </row>
    <row r="173" spans="1:2">
      <c r="A173">
        <v>172</v>
      </c>
      <c r="B173" s="2">
        <v>323.83264150922031</v>
      </c>
    </row>
    <row r="174" spans="1:2">
      <c r="A174">
        <v>173</v>
      </c>
      <c r="B174" s="2">
        <v>400.54297712608911</v>
      </c>
    </row>
    <row r="175" spans="1:2">
      <c r="A175">
        <v>174</v>
      </c>
      <c r="B175" s="2">
        <v>384.25172655221201</v>
      </c>
    </row>
    <row r="176" spans="1:2">
      <c r="A176">
        <v>175</v>
      </c>
      <c r="B176" s="2">
        <v>395.38522338256712</v>
      </c>
    </row>
    <row r="177" spans="1:2">
      <c r="A177">
        <v>176</v>
      </c>
      <c r="B177" s="2">
        <v>197.95076113702461</v>
      </c>
    </row>
    <row r="178" spans="1:2">
      <c r="A178">
        <v>177</v>
      </c>
      <c r="B178" s="2">
        <v>429.89599602382378</v>
      </c>
    </row>
    <row r="179" spans="1:2">
      <c r="A179">
        <v>178</v>
      </c>
      <c r="B179" s="2">
        <v>366.8947688113638</v>
      </c>
    </row>
    <row r="180" spans="1:2">
      <c r="A180">
        <v>179</v>
      </c>
      <c r="B180" s="2">
        <v>267.49570392221619</v>
      </c>
    </row>
    <row r="181" spans="1:2">
      <c r="A181">
        <v>180</v>
      </c>
      <c r="B181" s="2">
        <v>388.03743237712536</v>
      </c>
    </row>
    <row r="182" spans="1:2">
      <c r="A182">
        <v>181</v>
      </c>
      <c r="B182" s="2">
        <v>366.06136265765457</v>
      </c>
    </row>
    <row r="183" spans="1:2">
      <c r="A183">
        <v>182</v>
      </c>
      <c r="B183" s="2">
        <v>290.31717727615307</v>
      </c>
    </row>
    <row r="184" spans="1:2">
      <c r="A184">
        <v>183</v>
      </c>
      <c r="B184" s="2">
        <v>460.13513419486299</v>
      </c>
    </row>
    <row r="185" spans="1:2">
      <c r="A185">
        <v>184</v>
      </c>
      <c r="B185" s="2">
        <v>308.81809235406581</v>
      </c>
    </row>
    <row r="186" spans="1:2">
      <c r="A186">
        <v>185</v>
      </c>
      <c r="B186" s="2">
        <v>421.22239041133258</v>
      </c>
    </row>
    <row r="187" spans="1:2">
      <c r="A187">
        <v>186</v>
      </c>
      <c r="B187" s="2">
        <v>238.32073631542289</v>
      </c>
    </row>
    <row r="188" spans="1:2">
      <c r="A188">
        <v>187</v>
      </c>
      <c r="B188" s="2">
        <v>367.79494306929894</v>
      </c>
    </row>
    <row r="189" spans="1:2">
      <c r="A189">
        <v>188</v>
      </c>
      <c r="B189" s="2">
        <v>370.82180704714813</v>
      </c>
    </row>
    <row r="190" spans="1:2">
      <c r="A190">
        <v>189</v>
      </c>
      <c r="B190" s="2">
        <v>231.55250483656519</v>
      </c>
    </row>
    <row r="191" spans="1:2">
      <c r="A191">
        <v>190</v>
      </c>
      <c r="B191" s="2">
        <v>356.79364221835453</v>
      </c>
    </row>
    <row r="192" spans="1:2">
      <c r="A192">
        <v>191</v>
      </c>
      <c r="B192" s="2">
        <v>339.89064049881563</v>
      </c>
    </row>
    <row r="193" spans="1:2">
      <c r="A193">
        <v>192</v>
      </c>
      <c r="B193" s="2">
        <v>310.79500389904138</v>
      </c>
    </row>
    <row r="194" spans="1:2">
      <c r="A194">
        <v>193</v>
      </c>
      <c r="B194" s="2">
        <v>185.16047161875949</v>
      </c>
    </row>
    <row r="195" spans="1:2">
      <c r="A195">
        <v>194</v>
      </c>
      <c r="B195" s="2">
        <v>384.65555973104517</v>
      </c>
    </row>
    <row r="196" spans="1:2">
      <c r="A196">
        <v>195</v>
      </c>
      <c r="B196" s="2">
        <v>412.29208547873634</v>
      </c>
    </row>
    <row r="197" spans="1:2">
      <c r="A197">
        <v>196</v>
      </c>
      <c r="B197" s="2">
        <v>338.83316742328407</v>
      </c>
    </row>
    <row r="198" spans="1:2">
      <c r="A198">
        <v>197</v>
      </c>
      <c r="B198" s="2">
        <v>254.51540764998418</v>
      </c>
    </row>
    <row r="199" spans="1:2">
      <c r="A199">
        <v>198</v>
      </c>
      <c r="B199" s="2">
        <v>365.97880880082647</v>
      </c>
    </row>
    <row r="200" spans="1:2">
      <c r="A200">
        <v>199</v>
      </c>
      <c r="B200" s="2">
        <v>329.39958260112962</v>
      </c>
    </row>
    <row r="201" spans="1:2">
      <c r="A201">
        <v>200</v>
      </c>
      <c r="B201" s="2">
        <v>352.96364276876051</v>
      </c>
    </row>
    <row r="202" spans="1:2">
      <c r="A202">
        <v>201</v>
      </c>
      <c r="B202" s="2">
        <v>368.04259934703873</v>
      </c>
    </row>
    <row r="203" spans="1:2">
      <c r="A203">
        <v>202</v>
      </c>
      <c r="B203" s="2">
        <v>351.22941700206013</v>
      </c>
    </row>
    <row r="204" spans="1:2">
      <c r="A204">
        <v>203</v>
      </c>
      <c r="B204" s="2">
        <v>246.57666249916323</v>
      </c>
    </row>
    <row r="205" spans="1:2">
      <c r="A205">
        <v>204</v>
      </c>
      <c r="B205" s="2">
        <v>254.65548292295139</v>
      </c>
    </row>
    <row r="206" spans="1:2">
      <c r="A206">
        <v>205</v>
      </c>
      <c r="B206" s="2">
        <v>388.17266301909069</v>
      </c>
    </row>
    <row r="207" spans="1:2">
      <c r="A207">
        <v>206</v>
      </c>
      <c r="B207" s="2">
        <v>387.28739258541481</v>
      </c>
    </row>
    <row r="208" spans="1:2">
      <c r="A208">
        <v>207</v>
      </c>
      <c r="B208" s="2">
        <v>392.04727348846632</v>
      </c>
    </row>
    <row r="209" spans="1:2">
      <c r="A209">
        <v>208</v>
      </c>
      <c r="B209" s="2">
        <v>397.8224770990729</v>
      </c>
    </row>
    <row r="210" spans="1:2">
      <c r="A210">
        <v>209</v>
      </c>
      <c r="B210" s="2">
        <v>262.17102412045108</v>
      </c>
    </row>
    <row r="211" spans="1:2">
      <c r="A211">
        <v>210</v>
      </c>
      <c r="B211" s="2">
        <v>383.87599624065831</v>
      </c>
    </row>
    <row r="212" spans="1:2">
      <c r="A212">
        <v>211</v>
      </c>
      <c r="B212" s="2">
        <v>440.76333248361442</v>
      </c>
    </row>
    <row r="213" spans="1:2">
      <c r="A213">
        <v>212</v>
      </c>
      <c r="B213" s="2">
        <v>302.4427610477498</v>
      </c>
    </row>
    <row r="214" spans="1:2">
      <c r="A214">
        <v>213</v>
      </c>
      <c r="B214" s="2">
        <v>337.4847725436781</v>
      </c>
    </row>
    <row r="215" spans="1:2">
      <c r="A215">
        <v>214</v>
      </c>
      <c r="B215" s="2">
        <v>337.11996852138418</v>
      </c>
    </row>
    <row r="216" spans="1:2">
      <c r="A216">
        <v>215</v>
      </c>
      <c r="B216" s="2">
        <v>321.25383583602229</v>
      </c>
    </row>
    <row r="217" spans="1:2">
      <c r="A217">
        <v>216</v>
      </c>
      <c r="B217" s="2">
        <v>355.59583840955588</v>
      </c>
    </row>
    <row r="218" spans="1:2">
      <c r="A218">
        <v>217</v>
      </c>
      <c r="B218" s="2">
        <v>351.71208716103217</v>
      </c>
    </row>
    <row r="219" spans="1:2">
      <c r="A219">
        <v>218</v>
      </c>
      <c r="B219" s="2">
        <v>357.28033098713547</v>
      </c>
    </row>
    <row r="220" spans="1:2">
      <c r="A220">
        <v>219</v>
      </c>
      <c r="B220" s="2">
        <v>334.14880123295444</v>
      </c>
    </row>
    <row r="221" spans="1:2">
      <c r="A221">
        <v>220</v>
      </c>
      <c r="B221" s="2">
        <v>294.1658236961776</v>
      </c>
    </row>
    <row r="222" spans="1:2">
      <c r="A222">
        <v>221</v>
      </c>
      <c r="B222" s="2">
        <v>166.95785418507941</v>
      </c>
    </row>
    <row r="223" spans="1:2">
      <c r="A223">
        <v>222</v>
      </c>
      <c r="B223" s="2">
        <v>377.93273770464793</v>
      </c>
    </row>
    <row r="224" spans="1:2">
      <c r="A224">
        <v>223</v>
      </c>
      <c r="B224" s="2">
        <v>218.16699915585036</v>
      </c>
    </row>
    <row r="225" spans="1:2">
      <c r="A225">
        <v>224</v>
      </c>
      <c r="B225" s="2">
        <v>217.88358249105306</v>
      </c>
    </row>
    <row r="226" spans="1:2">
      <c r="A226">
        <v>225</v>
      </c>
      <c r="B226" s="2">
        <v>320.60324090067456</v>
      </c>
    </row>
    <row r="227" spans="1:2">
      <c r="A227">
        <v>226</v>
      </c>
      <c r="B227" s="2">
        <v>309.44705478774466</v>
      </c>
    </row>
    <row r="228" spans="1:2">
      <c r="A228">
        <v>227</v>
      </c>
      <c r="B228" s="2">
        <v>455.0227933486708</v>
      </c>
    </row>
    <row r="229" spans="1:2">
      <c r="A229">
        <v>228</v>
      </c>
      <c r="B229" s="2">
        <v>246.30153045634668</v>
      </c>
    </row>
    <row r="230" spans="1:2">
      <c r="A230">
        <v>229</v>
      </c>
      <c r="B230" s="2">
        <v>311.81925187494062</v>
      </c>
    </row>
    <row r="231" spans="1:2">
      <c r="A231">
        <v>230</v>
      </c>
      <c r="B231" s="2">
        <v>395.1655332334629</v>
      </c>
    </row>
    <row r="232" spans="1:2">
      <c r="A232">
        <v>231</v>
      </c>
      <c r="B232" s="2">
        <v>476.03300206874985</v>
      </c>
    </row>
    <row r="233" spans="1:2">
      <c r="A233">
        <v>232</v>
      </c>
      <c r="B233" s="2">
        <v>268.23072440815776</v>
      </c>
    </row>
    <row r="234" spans="1:2">
      <c r="A234">
        <v>233</v>
      </c>
      <c r="B234" s="2">
        <v>308.02806241221958</v>
      </c>
    </row>
    <row r="235" spans="1:2">
      <c r="A235">
        <v>234</v>
      </c>
      <c r="B235" s="2">
        <v>308.15410381633802</v>
      </c>
    </row>
    <row r="236" spans="1:2">
      <c r="A236">
        <v>235</v>
      </c>
      <c r="B236" s="2">
        <v>394.07566159272818</v>
      </c>
    </row>
    <row r="237" spans="1:2">
      <c r="A237">
        <v>236</v>
      </c>
      <c r="B237" s="2">
        <v>524.80607429689849</v>
      </c>
    </row>
    <row r="238" spans="1:2">
      <c r="A238">
        <v>237</v>
      </c>
      <c r="B238" s="2">
        <v>303.99972813342606</v>
      </c>
    </row>
    <row r="239" spans="1:2">
      <c r="A239">
        <v>238</v>
      </c>
      <c r="B239" s="2">
        <v>367.61213042714326</v>
      </c>
    </row>
    <row r="240" spans="1:2">
      <c r="A240">
        <v>239</v>
      </c>
      <c r="B240" s="2">
        <v>212.8286548805425</v>
      </c>
    </row>
    <row r="241" spans="1:2">
      <c r="A241">
        <v>240</v>
      </c>
      <c r="B241" s="2">
        <v>289.04454708926772</v>
      </c>
    </row>
    <row r="242" spans="1:2">
      <c r="A242">
        <v>241</v>
      </c>
      <c r="B242" s="2">
        <v>438.30904601803854</v>
      </c>
    </row>
    <row r="243" spans="1:2">
      <c r="A243">
        <v>242</v>
      </c>
      <c r="B243" s="2">
        <v>414.59124075196615</v>
      </c>
    </row>
    <row r="244" spans="1:2">
      <c r="A244">
        <v>243</v>
      </c>
      <c r="B244" s="2">
        <v>195.23385300845948</v>
      </c>
    </row>
    <row r="245" spans="1:2">
      <c r="A245">
        <v>244</v>
      </c>
      <c r="B245" s="2">
        <v>264.27793041960035</v>
      </c>
    </row>
    <row r="246" spans="1:2">
      <c r="A246">
        <v>245</v>
      </c>
      <c r="B246" s="2">
        <v>287.27392707254211</v>
      </c>
    </row>
    <row r="247" spans="1:2">
      <c r="A247">
        <v>246</v>
      </c>
      <c r="B247" s="2">
        <v>306.63768868358881</v>
      </c>
    </row>
    <row r="248" spans="1:2">
      <c r="A248">
        <v>247</v>
      </c>
      <c r="B248" s="2">
        <v>497.68478546704068</v>
      </c>
    </row>
    <row r="249" spans="1:2">
      <c r="A249">
        <v>248</v>
      </c>
      <c r="B249" s="2">
        <v>385.84145509210725</v>
      </c>
    </row>
    <row r="250" spans="1:2">
      <c r="A250">
        <v>249</v>
      </c>
      <c r="B250" s="2">
        <v>250.42599069964771</v>
      </c>
    </row>
    <row r="251" spans="1:2">
      <c r="A251">
        <v>250</v>
      </c>
      <c r="B251" s="2">
        <v>347.86060684587073</v>
      </c>
    </row>
    <row r="252" spans="1:2">
      <c r="A252">
        <v>251</v>
      </c>
      <c r="B252" s="2">
        <v>362.36113596126012</v>
      </c>
    </row>
    <row r="253" spans="1:2">
      <c r="A253">
        <v>252</v>
      </c>
      <c r="B253" s="2">
        <v>444.34352047722996</v>
      </c>
    </row>
    <row r="254" spans="1:2">
      <c r="A254">
        <v>253</v>
      </c>
      <c r="B254" s="2">
        <v>422.497107448078</v>
      </c>
    </row>
    <row r="255" spans="1:2">
      <c r="A255">
        <v>254</v>
      </c>
      <c r="B255" s="2">
        <v>439.84463350287206</v>
      </c>
    </row>
    <row r="256" spans="1:2">
      <c r="A256">
        <v>255</v>
      </c>
      <c r="B256" s="2">
        <v>428.62370585007034</v>
      </c>
    </row>
    <row r="257" spans="1:2">
      <c r="A257">
        <v>256</v>
      </c>
      <c r="B257" s="2">
        <v>360.07831394054114</v>
      </c>
    </row>
    <row r="258" spans="1:2">
      <c r="A258">
        <v>257</v>
      </c>
      <c r="B258" s="2">
        <v>337.82011770787068</v>
      </c>
    </row>
    <row r="259" spans="1:2">
      <c r="A259">
        <v>258</v>
      </c>
      <c r="B259" s="2">
        <v>259.48012344879851</v>
      </c>
    </row>
    <row r="260" spans="1:2">
      <c r="A260">
        <v>259</v>
      </c>
      <c r="B260" s="2">
        <v>327.84480106383421</v>
      </c>
    </row>
    <row r="261" spans="1:2">
      <c r="A261">
        <v>260</v>
      </c>
      <c r="B261" s="2">
        <v>269.34194106825629</v>
      </c>
    </row>
    <row r="262" spans="1:2">
      <c r="A262">
        <v>261</v>
      </c>
      <c r="B262" s="2">
        <v>375.17395211710402</v>
      </c>
    </row>
    <row r="263" spans="1:2">
      <c r="A263">
        <v>262</v>
      </c>
      <c r="B263" s="2">
        <v>405.35748193160674</v>
      </c>
    </row>
    <row r="264" spans="1:2">
      <c r="A264">
        <v>263</v>
      </c>
      <c r="B264" s="2">
        <v>212.10498636043502</v>
      </c>
    </row>
    <row r="265" spans="1:2">
      <c r="A265">
        <v>264</v>
      </c>
      <c r="B265" s="2">
        <v>276.31398695901339</v>
      </c>
    </row>
    <row r="266" spans="1:2">
      <c r="A266">
        <v>265</v>
      </c>
      <c r="B266" s="2">
        <v>563.5259329866301</v>
      </c>
    </row>
    <row r="267" spans="1:2">
      <c r="A267">
        <v>266</v>
      </c>
      <c r="B267" s="2">
        <v>432.40761374607786</v>
      </c>
    </row>
    <row r="268" spans="1:2">
      <c r="A268">
        <v>267</v>
      </c>
      <c r="B268" s="2">
        <v>322.79206148672114</v>
      </c>
    </row>
    <row r="269" spans="1:2">
      <c r="A269">
        <v>268</v>
      </c>
      <c r="B269" s="2">
        <v>153.15124481493751</v>
      </c>
    </row>
    <row r="270" spans="1:2">
      <c r="A270">
        <v>269</v>
      </c>
      <c r="B270" s="2">
        <v>301.53164607255667</v>
      </c>
    </row>
    <row r="271" spans="1:2">
      <c r="A271">
        <v>270</v>
      </c>
      <c r="B271" s="2">
        <v>327.04527293639165</v>
      </c>
    </row>
    <row r="272" spans="1:2">
      <c r="A272">
        <v>271</v>
      </c>
      <c r="B272" s="2">
        <v>396.78751726668327</v>
      </c>
    </row>
    <row r="273" spans="1:2">
      <c r="A273">
        <v>272</v>
      </c>
      <c r="B273" s="2">
        <v>269.48720464972524</v>
      </c>
    </row>
    <row r="274" spans="1:2">
      <c r="A274">
        <v>273</v>
      </c>
      <c r="B274" s="2">
        <v>393.91891975603608</v>
      </c>
    </row>
    <row r="275" spans="1:2">
      <c r="A275">
        <v>274</v>
      </c>
      <c r="B275" s="2">
        <v>391.01100156887935</v>
      </c>
    </row>
    <row r="276" spans="1:2">
      <c r="A276">
        <v>275</v>
      </c>
      <c r="B276" s="2">
        <v>322.47395611328375</v>
      </c>
    </row>
    <row r="277" spans="1:2">
      <c r="A277">
        <v>276</v>
      </c>
      <c r="B277" s="2">
        <v>332.21509772467499</v>
      </c>
    </row>
    <row r="278" spans="1:2">
      <c r="A278">
        <v>277</v>
      </c>
      <c r="B278" s="2">
        <v>311.67647364898232</v>
      </c>
    </row>
    <row r="279" spans="1:2">
      <c r="A279">
        <v>278</v>
      </c>
      <c r="B279" s="2">
        <v>382.77384963773238</v>
      </c>
    </row>
    <row r="280" spans="1:2">
      <c r="A280">
        <v>279</v>
      </c>
      <c r="B280" s="2">
        <v>444.22231742862158</v>
      </c>
    </row>
    <row r="281" spans="1:2">
      <c r="A281">
        <v>280</v>
      </c>
      <c r="B281" s="2">
        <v>330.21866052606453</v>
      </c>
    </row>
    <row r="282" spans="1:2">
      <c r="A282">
        <v>281</v>
      </c>
      <c r="B282" s="2">
        <v>273.8380529383669</v>
      </c>
    </row>
    <row r="283" spans="1:2">
      <c r="A283">
        <v>282</v>
      </c>
      <c r="B283" s="2">
        <v>249.11632461766615</v>
      </c>
    </row>
    <row r="284" spans="1:2">
      <c r="A284">
        <v>283</v>
      </c>
      <c r="B284" s="2">
        <v>281.63993655954664</v>
      </c>
    </row>
    <row r="285" spans="1:2">
      <c r="A285">
        <v>284</v>
      </c>
      <c r="B285" s="2">
        <v>240.61741661464859</v>
      </c>
    </row>
    <row r="286" spans="1:2">
      <c r="A286">
        <v>285</v>
      </c>
      <c r="B286" s="2">
        <v>268.05796020450265</v>
      </c>
    </row>
    <row r="287" spans="1:2">
      <c r="A287">
        <v>286</v>
      </c>
      <c r="B287" s="2">
        <v>323.30098219146669</v>
      </c>
    </row>
    <row r="288" spans="1:2">
      <c r="A288">
        <v>287</v>
      </c>
      <c r="B288" s="2">
        <v>313.66722181023488</v>
      </c>
    </row>
    <row r="289" spans="1:2">
      <c r="A289">
        <v>288</v>
      </c>
      <c r="B289" s="2">
        <v>309.11339311970931</v>
      </c>
    </row>
    <row r="290" spans="1:2">
      <c r="A290">
        <v>289</v>
      </c>
      <c r="B290" s="2">
        <v>332.78177669432011</v>
      </c>
    </row>
    <row r="291" spans="1:2">
      <c r="A291">
        <v>290</v>
      </c>
      <c r="B291" s="2">
        <v>336.1943146566847</v>
      </c>
    </row>
    <row r="292" spans="1:2">
      <c r="A292">
        <v>291</v>
      </c>
      <c r="B292" s="2">
        <v>364.29306828952139</v>
      </c>
    </row>
    <row r="293" spans="1:2">
      <c r="A293">
        <v>292</v>
      </c>
      <c r="B293" s="2">
        <v>504.56687362529368</v>
      </c>
    </row>
    <row r="294" spans="1:2">
      <c r="A294">
        <v>293</v>
      </c>
      <c r="B294" s="2">
        <v>385.38685252320204</v>
      </c>
    </row>
    <row r="295" spans="1:2">
      <c r="A295">
        <v>294</v>
      </c>
      <c r="B295" s="2">
        <v>324.062002943057</v>
      </c>
    </row>
    <row r="296" spans="1:2">
      <c r="A296">
        <v>295</v>
      </c>
      <c r="B296" s="2">
        <v>384.15270397948996</v>
      </c>
    </row>
    <row r="297" spans="1:2">
      <c r="A297">
        <v>296</v>
      </c>
      <c r="B297" s="2">
        <v>247.81233861444053</v>
      </c>
    </row>
    <row r="298" spans="1:2">
      <c r="A298">
        <v>297</v>
      </c>
      <c r="B298" s="2">
        <v>377.92401354241747</v>
      </c>
    </row>
    <row r="299" spans="1:2">
      <c r="A299">
        <v>298</v>
      </c>
      <c r="B299" s="2">
        <v>493.31083306245279</v>
      </c>
    </row>
    <row r="300" spans="1:2">
      <c r="A300">
        <v>299</v>
      </c>
      <c r="B300" s="2">
        <v>250.94375071071906</v>
      </c>
    </row>
    <row r="301" spans="1:2">
      <c r="A301">
        <v>300</v>
      </c>
      <c r="B301" s="2">
        <v>249.65721005501794</v>
      </c>
    </row>
    <row r="302" spans="1:2">
      <c r="A302">
        <v>301</v>
      </c>
      <c r="B302" s="2">
        <v>383.39178250771613</v>
      </c>
    </row>
    <row r="303" spans="1:2">
      <c r="A303">
        <v>302</v>
      </c>
      <c r="B303" s="2">
        <v>521.02323184318016</v>
      </c>
    </row>
    <row r="304" spans="1:2">
      <c r="A304">
        <v>303</v>
      </c>
      <c r="B304" s="2">
        <v>352.7470033187426</v>
      </c>
    </row>
    <row r="305" spans="1:2">
      <c r="A305">
        <v>304</v>
      </c>
      <c r="B305" s="2">
        <v>405.55360455243851</v>
      </c>
    </row>
    <row r="306" spans="1:2">
      <c r="A306">
        <v>305</v>
      </c>
      <c r="B306" s="2">
        <v>341.74506628995641</v>
      </c>
    </row>
    <row r="307" spans="1:2">
      <c r="A307">
        <v>306</v>
      </c>
      <c r="B307" s="2">
        <v>502.83492244713648</v>
      </c>
    </row>
    <row r="308" spans="1:2">
      <c r="A308">
        <v>307</v>
      </c>
      <c r="B308" s="2">
        <v>474.16309491809238</v>
      </c>
    </row>
    <row r="309" spans="1:2">
      <c r="A309">
        <v>308</v>
      </c>
      <c r="B309" s="2">
        <v>340.62363645460465</v>
      </c>
    </row>
    <row r="310" spans="1:2">
      <c r="A310">
        <v>309</v>
      </c>
      <c r="B310" s="2">
        <v>456.35927201404087</v>
      </c>
    </row>
    <row r="311" spans="1:2">
      <c r="A311">
        <v>310</v>
      </c>
      <c r="B311" s="2">
        <v>306.52383075035038</v>
      </c>
    </row>
    <row r="312" spans="1:2">
      <c r="A312">
        <v>311</v>
      </c>
      <c r="B312" s="2">
        <v>430.51753589654669</v>
      </c>
    </row>
    <row r="313" spans="1:2">
      <c r="A313">
        <v>312</v>
      </c>
      <c r="B313" s="2">
        <v>265.7524710148985</v>
      </c>
    </row>
    <row r="314" spans="1:2">
      <c r="A314">
        <v>313</v>
      </c>
      <c r="B314" s="2">
        <v>326.79192160837727</v>
      </c>
    </row>
    <row r="315" spans="1:2">
      <c r="A315">
        <v>314</v>
      </c>
      <c r="B315" s="2">
        <v>318.1677083384601</v>
      </c>
    </row>
    <row r="316" spans="1:2">
      <c r="A316">
        <v>315</v>
      </c>
      <c r="B316" s="2">
        <v>359.35475754032893</v>
      </c>
    </row>
    <row r="317" spans="1:2">
      <c r="A317">
        <v>316</v>
      </c>
      <c r="B317" s="2">
        <v>312.53820694847428</v>
      </c>
    </row>
    <row r="318" spans="1:2">
      <c r="A318">
        <v>317</v>
      </c>
      <c r="B318" s="2">
        <v>399.9252799657848</v>
      </c>
    </row>
    <row r="319" spans="1:2">
      <c r="A319">
        <v>318</v>
      </c>
      <c r="B319" s="2">
        <v>353.93562532765498</v>
      </c>
    </row>
    <row r="320" spans="1:2">
      <c r="A320">
        <v>319</v>
      </c>
      <c r="B320" s="2">
        <v>322.89892399471029</v>
      </c>
    </row>
    <row r="321" spans="1:2">
      <c r="A321">
        <v>320</v>
      </c>
      <c r="B321" s="2">
        <v>308.47335853555347</v>
      </c>
    </row>
    <row r="322" spans="1:2">
      <c r="A322">
        <v>321</v>
      </c>
      <c r="B322" s="2">
        <v>332.20492664032116</v>
      </c>
    </row>
    <row r="323" spans="1:2">
      <c r="A323">
        <v>322</v>
      </c>
      <c r="B323" s="2">
        <v>496.78724909089919</v>
      </c>
    </row>
    <row r="324" spans="1:2">
      <c r="A324">
        <v>323</v>
      </c>
      <c r="B324" s="2">
        <v>576.91262596304182</v>
      </c>
    </row>
    <row r="325" spans="1:2">
      <c r="A325">
        <v>324</v>
      </c>
      <c r="B325" s="2">
        <v>367.08881049450986</v>
      </c>
    </row>
    <row r="326" spans="1:2">
      <c r="A326">
        <v>325</v>
      </c>
      <c r="B326" s="2">
        <v>424.8881257260764</v>
      </c>
    </row>
    <row r="327" spans="1:2">
      <c r="A327">
        <v>326</v>
      </c>
      <c r="B327" s="2">
        <v>413.52915989580316</v>
      </c>
    </row>
    <row r="328" spans="1:2">
      <c r="A328">
        <v>327</v>
      </c>
      <c r="B328" s="2">
        <v>399.55207994104228</v>
      </c>
    </row>
    <row r="329" spans="1:2">
      <c r="A329">
        <v>328</v>
      </c>
      <c r="B329" s="2">
        <v>427.75688566565373</v>
      </c>
    </row>
    <row r="330" spans="1:2">
      <c r="A330">
        <v>329</v>
      </c>
      <c r="B330" s="2">
        <v>388.26620787796753</v>
      </c>
    </row>
    <row r="331" spans="1:2">
      <c r="A331">
        <v>330</v>
      </c>
      <c r="B331" s="2">
        <v>343.09666050375375</v>
      </c>
    </row>
    <row r="332" spans="1:2">
      <c r="A332">
        <v>331</v>
      </c>
      <c r="B332" s="2">
        <v>230.26888241750055</v>
      </c>
    </row>
    <row r="333" spans="1:2">
      <c r="A333">
        <v>332</v>
      </c>
      <c r="B333" s="2">
        <v>323.50723469646914</v>
      </c>
    </row>
    <row r="334" spans="1:2">
      <c r="A334">
        <v>333</v>
      </c>
      <c r="B334" s="2">
        <v>420.44884246077709</v>
      </c>
    </row>
    <row r="335" spans="1:2">
      <c r="A335">
        <v>334</v>
      </c>
      <c r="B335" s="2">
        <v>326.69264722867888</v>
      </c>
    </row>
    <row r="336" spans="1:2">
      <c r="A336">
        <v>335</v>
      </c>
      <c r="B336" s="2">
        <v>339.6351915277163</v>
      </c>
    </row>
    <row r="337" spans="1:2">
      <c r="A337">
        <v>336</v>
      </c>
      <c r="B337" s="2">
        <v>447.35552026888433</v>
      </c>
    </row>
    <row r="338" spans="1:2">
      <c r="A338">
        <v>337</v>
      </c>
      <c r="B338" s="2">
        <v>288.91069945601572</v>
      </c>
    </row>
    <row r="339" spans="1:2">
      <c r="A339">
        <v>338</v>
      </c>
      <c r="B339" s="2">
        <v>363.62701223836063</v>
      </c>
    </row>
    <row r="340" spans="1:2">
      <c r="A340">
        <v>339</v>
      </c>
      <c r="B340" s="2">
        <v>410.87079013918992</v>
      </c>
    </row>
    <row r="341" spans="1:2">
      <c r="A341">
        <v>340</v>
      </c>
      <c r="B341" s="2">
        <v>306.99556324933013</v>
      </c>
    </row>
    <row r="342" spans="1:2">
      <c r="A342">
        <v>341</v>
      </c>
      <c r="B342" s="2">
        <v>272.44438773211243</v>
      </c>
    </row>
    <row r="343" spans="1:2">
      <c r="A343">
        <v>342</v>
      </c>
      <c r="B343" s="2">
        <v>410.69270365283637</v>
      </c>
    </row>
    <row r="344" spans="1:2">
      <c r="A344">
        <v>343</v>
      </c>
      <c r="B344" s="2">
        <v>402.77037319782733</v>
      </c>
    </row>
    <row r="345" spans="1:2">
      <c r="A345">
        <v>344</v>
      </c>
      <c r="B345" s="2">
        <v>278.4542526938119</v>
      </c>
    </row>
    <row r="346" spans="1:2">
      <c r="A346">
        <v>345</v>
      </c>
      <c r="B346" s="2">
        <v>262.14375968718753</v>
      </c>
    </row>
    <row r="347" spans="1:2">
      <c r="A347">
        <v>346</v>
      </c>
      <c r="B347" s="2">
        <v>364.20817703670878</v>
      </c>
    </row>
    <row r="348" spans="1:2">
      <c r="A348">
        <v>347</v>
      </c>
      <c r="B348" s="2">
        <v>238.75391418913637</v>
      </c>
    </row>
    <row r="349" spans="1:2">
      <c r="A349">
        <v>348</v>
      </c>
      <c r="B349" s="2">
        <v>315.84704500430308</v>
      </c>
    </row>
    <row r="350" spans="1:2">
      <c r="A350">
        <v>349</v>
      </c>
      <c r="B350" s="2">
        <v>369.3647704043089</v>
      </c>
    </row>
    <row r="351" spans="1:2">
      <c r="A351">
        <v>350</v>
      </c>
      <c r="B351" s="2">
        <v>471.50510786131605</v>
      </c>
    </row>
    <row r="352" spans="1:2">
      <c r="A352">
        <v>351</v>
      </c>
      <c r="B352" s="2">
        <v>314.17572863634302</v>
      </c>
    </row>
    <row r="353" spans="1:2">
      <c r="A353">
        <v>352</v>
      </c>
      <c r="B353" s="2">
        <v>329.50152269805142</v>
      </c>
    </row>
    <row r="354" spans="1:2">
      <c r="A354">
        <v>353</v>
      </c>
      <c r="B354" s="2">
        <v>445.28489932120709</v>
      </c>
    </row>
    <row r="355" spans="1:2">
      <c r="A355">
        <v>354</v>
      </c>
      <c r="B355" s="2">
        <v>262.93155498722507</v>
      </c>
    </row>
    <row r="356" spans="1:2">
      <c r="A356">
        <v>355</v>
      </c>
      <c r="B356" s="2">
        <v>407.0883997810991</v>
      </c>
    </row>
    <row r="357" spans="1:2">
      <c r="A357">
        <v>356</v>
      </c>
      <c r="B357" s="2">
        <v>535.11360592895039</v>
      </c>
    </row>
    <row r="358" spans="1:2">
      <c r="A358">
        <v>357</v>
      </c>
      <c r="B358" s="2">
        <v>365.21001851997573</v>
      </c>
    </row>
    <row r="359" spans="1:2">
      <c r="A359">
        <v>358</v>
      </c>
      <c r="B359" s="2">
        <v>285.30878189738758</v>
      </c>
    </row>
    <row r="360" spans="1:2">
      <c r="A360">
        <v>359</v>
      </c>
      <c r="B360" s="2">
        <v>373.671896931422</v>
      </c>
    </row>
    <row r="361" spans="1:2">
      <c r="A361">
        <v>360</v>
      </c>
      <c r="B361" s="2">
        <v>378.46838546146682</v>
      </c>
    </row>
    <row r="362" spans="1:2">
      <c r="A362">
        <v>361</v>
      </c>
      <c r="B362" s="2">
        <v>411.29675646629693</v>
      </c>
    </row>
    <row r="363" spans="1:2">
      <c r="A363">
        <v>362</v>
      </c>
      <c r="B363" s="2">
        <v>296.18523558517433</v>
      </c>
    </row>
    <row r="364" spans="1:2">
      <c r="A364">
        <v>363</v>
      </c>
      <c r="B364" s="2">
        <v>351.77187617236143</v>
      </c>
    </row>
    <row r="365" spans="1:2">
      <c r="A365">
        <v>364</v>
      </c>
      <c r="B365" s="2">
        <v>425.9204558113355</v>
      </c>
    </row>
    <row r="366" spans="1:2">
      <c r="A366">
        <v>365</v>
      </c>
      <c r="B366" s="2">
        <v>315.79287253870353</v>
      </c>
    </row>
    <row r="367" spans="1:2">
      <c r="A367">
        <v>366</v>
      </c>
      <c r="B367" s="2">
        <v>251.68384104574042</v>
      </c>
    </row>
    <row r="368" spans="1:2">
      <c r="A368">
        <v>367</v>
      </c>
      <c r="B368" s="2">
        <v>260.93503652596388</v>
      </c>
    </row>
    <row r="369" spans="1:2">
      <c r="A369">
        <v>368</v>
      </c>
      <c r="B369" s="2">
        <v>322.11908996123469</v>
      </c>
    </row>
    <row r="370" spans="1:2">
      <c r="A370">
        <v>369</v>
      </c>
      <c r="B370" s="2">
        <v>293.3523952489785</v>
      </c>
    </row>
    <row r="371" spans="1:2">
      <c r="A371">
        <v>370</v>
      </c>
      <c r="B371" s="2">
        <v>373.24278966138365</v>
      </c>
    </row>
    <row r="372" spans="1:2">
      <c r="A372">
        <v>371</v>
      </c>
      <c r="B372" s="2">
        <v>388.63775643341842</v>
      </c>
    </row>
    <row r="373" spans="1:2">
      <c r="A373">
        <v>372</v>
      </c>
      <c r="B373" s="2">
        <v>427.68289992671589</v>
      </c>
    </row>
    <row r="374" spans="1:2">
      <c r="A374">
        <v>373</v>
      </c>
      <c r="B374" s="2">
        <v>416.7152990700398</v>
      </c>
    </row>
    <row r="375" spans="1:2">
      <c r="A375">
        <v>374</v>
      </c>
      <c r="B375" s="2">
        <v>220.40718605637551</v>
      </c>
    </row>
    <row r="376" spans="1:2">
      <c r="A376">
        <v>375</v>
      </c>
      <c r="B376" s="2">
        <v>383.06343961525658</v>
      </c>
    </row>
    <row r="377" spans="1:2">
      <c r="A377">
        <v>376</v>
      </c>
      <c r="B377" s="2">
        <v>433.81006527970283</v>
      </c>
    </row>
    <row r="378" spans="1:2">
      <c r="A378">
        <v>377</v>
      </c>
      <c r="B378" s="2">
        <v>407.4391247212493</v>
      </c>
    </row>
    <row r="379" spans="1:2">
      <c r="A379">
        <v>378</v>
      </c>
      <c r="B379" s="2">
        <v>492.6666528027946</v>
      </c>
    </row>
    <row r="380" spans="1:2">
      <c r="A380">
        <v>379</v>
      </c>
      <c r="B380" s="2">
        <v>404.16348843526453</v>
      </c>
    </row>
    <row r="381" spans="1:2">
      <c r="A381">
        <v>380</v>
      </c>
      <c r="B381" s="2">
        <v>200.0797223921725</v>
      </c>
    </row>
    <row r="382" spans="1:2">
      <c r="A382">
        <v>381</v>
      </c>
      <c r="B382" s="2">
        <v>158.93291064410306</v>
      </c>
    </row>
    <row r="383" spans="1:2">
      <c r="A383">
        <v>382</v>
      </c>
      <c r="B383" s="2">
        <v>312.90118099290692</v>
      </c>
    </row>
    <row r="384" spans="1:2">
      <c r="A384">
        <v>383</v>
      </c>
      <c r="B384" s="2">
        <v>311.5350963406861</v>
      </c>
    </row>
    <row r="385" spans="1:2">
      <c r="A385">
        <v>384</v>
      </c>
      <c r="B385" s="2">
        <v>305.59949494687015</v>
      </c>
    </row>
    <row r="386" spans="1:2">
      <c r="A386">
        <v>385</v>
      </c>
      <c r="B386" s="2">
        <v>277.95924428004213</v>
      </c>
    </row>
    <row r="387" spans="1:2">
      <c r="A387">
        <v>386</v>
      </c>
      <c r="B387" s="2">
        <v>333.98965063094283</v>
      </c>
    </row>
    <row r="388" spans="1:2">
      <c r="A388">
        <v>387</v>
      </c>
      <c r="B388" s="2">
        <v>200.87733749742051</v>
      </c>
    </row>
    <row r="389" spans="1:2">
      <c r="A389">
        <v>388</v>
      </c>
      <c r="B389" s="2">
        <v>359.64917054081729</v>
      </c>
    </row>
    <row r="390" spans="1:2">
      <c r="A390">
        <v>389</v>
      </c>
      <c r="B390" s="2">
        <v>392.89065891472632</v>
      </c>
    </row>
    <row r="391" spans="1:2">
      <c r="A391">
        <v>390</v>
      </c>
      <c r="B391" s="2">
        <v>423.75164406730028</v>
      </c>
    </row>
    <row r="392" spans="1:2">
      <c r="A392">
        <v>391</v>
      </c>
      <c r="B392" s="2">
        <v>427.1825165155351</v>
      </c>
    </row>
    <row r="393" spans="1:2">
      <c r="A393">
        <v>392</v>
      </c>
      <c r="B393" s="2">
        <v>382.49035993784804</v>
      </c>
    </row>
    <row r="394" spans="1:2">
      <c r="A394">
        <v>393</v>
      </c>
      <c r="B394" s="2">
        <v>293.50890017585255</v>
      </c>
    </row>
    <row r="395" spans="1:2">
      <c r="A395">
        <v>394</v>
      </c>
      <c r="B395" s="2">
        <v>187.71499113445213</v>
      </c>
    </row>
    <row r="396" spans="1:2">
      <c r="A396">
        <v>395</v>
      </c>
      <c r="B396" s="2">
        <v>378.30332354340499</v>
      </c>
    </row>
    <row r="397" spans="1:2">
      <c r="A397">
        <v>396</v>
      </c>
      <c r="B397" s="2">
        <v>480.21036317857767</v>
      </c>
    </row>
    <row r="398" spans="1:2">
      <c r="A398">
        <v>397</v>
      </c>
      <c r="B398" s="2">
        <v>292.91337431717693</v>
      </c>
    </row>
    <row r="399" spans="1:2">
      <c r="A399">
        <v>398</v>
      </c>
      <c r="B399" s="2">
        <v>392.57118005553599</v>
      </c>
    </row>
    <row r="400" spans="1:2">
      <c r="A400">
        <v>399</v>
      </c>
      <c r="B400" s="2">
        <v>423.23001682902122</v>
      </c>
    </row>
    <row r="401" spans="1:2">
      <c r="A401">
        <v>400</v>
      </c>
      <c r="B401" s="2">
        <v>279.64942282477165</v>
      </c>
    </row>
    <row r="402" spans="1:2">
      <c r="A402">
        <v>401</v>
      </c>
      <c r="B402" s="2">
        <v>336.23544034146857</v>
      </c>
    </row>
    <row r="403" spans="1:2">
      <c r="A403">
        <v>402</v>
      </c>
      <c r="B403" s="2">
        <v>330.64200368026923</v>
      </c>
    </row>
    <row r="404" spans="1:2">
      <c r="A404">
        <v>403</v>
      </c>
      <c r="B404" s="2">
        <v>424.47401445037929</v>
      </c>
    </row>
    <row r="405" spans="1:2">
      <c r="A405">
        <v>404</v>
      </c>
      <c r="B405" s="2">
        <v>358.33717882954943</v>
      </c>
    </row>
    <row r="406" spans="1:2">
      <c r="A406">
        <v>405</v>
      </c>
      <c r="B406" s="2">
        <v>388.90857797817006</v>
      </c>
    </row>
    <row r="407" spans="1:2">
      <c r="A407">
        <v>406</v>
      </c>
      <c r="B407" s="2">
        <v>239.59020199555238</v>
      </c>
    </row>
    <row r="408" spans="1:2">
      <c r="A408">
        <v>407</v>
      </c>
      <c r="B408" s="2">
        <v>331.61525267808781</v>
      </c>
    </row>
    <row r="409" spans="1:2">
      <c r="A409">
        <v>408</v>
      </c>
      <c r="B409" s="2">
        <v>355.96534922456908</v>
      </c>
    </row>
    <row r="410" spans="1:2">
      <c r="A410">
        <v>409</v>
      </c>
      <c r="B410" s="2">
        <v>450.68483012890471</v>
      </c>
    </row>
    <row r="411" spans="1:2">
      <c r="A411">
        <v>410</v>
      </c>
      <c r="B411" s="2">
        <v>388.92569462857875</v>
      </c>
    </row>
    <row r="412" spans="1:2">
      <c r="A412">
        <v>411</v>
      </c>
      <c r="B412" s="2">
        <v>255.79407073128601</v>
      </c>
    </row>
    <row r="413" spans="1:2">
      <c r="A413">
        <v>412</v>
      </c>
      <c r="B413" s="2">
        <v>257.9458506679897</v>
      </c>
    </row>
    <row r="414" spans="1:2">
      <c r="A414">
        <v>413</v>
      </c>
      <c r="B414" s="2">
        <v>379.24356390813978</v>
      </c>
    </row>
    <row r="415" spans="1:2">
      <c r="A415">
        <v>414</v>
      </c>
      <c r="B415" s="2">
        <v>315.69141019644138</v>
      </c>
    </row>
    <row r="416" spans="1:2">
      <c r="A416">
        <v>415</v>
      </c>
      <c r="B416" s="2">
        <v>285.48719083268918</v>
      </c>
    </row>
    <row r="417" spans="1:2">
      <c r="A417">
        <v>416</v>
      </c>
      <c r="B417" s="2">
        <v>263.60290151241088</v>
      </c>
    </row>
    <row r="418" spans="1:2">
      <c r="A418">
        <v>417</v>
      </c>
      <c r="B418" s="2">
        <v>383.62031931006572</v>
      </c>
    </row>
    <row r="419" spans="1:2">
      <c r="A419">
        <v>418</v>
      </c>
      <c r="B419" s="2">
        <v>272.87079230385882</v>
      </c>
    </row>
    <row r="420" spans="1:2">
      <c r="A420">
        <v>419</v>
      </c>
      <c r="B420" s="2">
        <v>371.65062420085371</v>
      </c>
    </row>
    <row r="421" spans="1:2">
      <c r="A421">
        <v>420</v>
      </c>
      <c r="B421" s="2">
        <v>359.49789950168247</v>
      </c>
    </row>
    <row r="422" spans="1:2">
      <c r="A422">
        <v>421</v>
      </c>
      <c r="B422" s="2">
        <v>250.75677066999964</v>
      </c>
    </row>
    <row r="423" spans="1:2">
      <c r="A423">
        <v>422</v>
      </c>
      <c r="B423" s="2">
        <v>370.30245077831313</v>
      </c>
    </row>
    <row r="424" spans="1:2">
      <c r="A424">
        <v>423</v>
      </c>
      <c r="B424" s="2">
        <v>360.99424152965059</v>
      </c>
    </row>
    <row r="425" spans="1:2">
      <c r="A425">
        <v>424</v>
      </c>
      <c r="B425" s="2">
        <v>449.11078802312443</v>
      </c>
    </row>
    <row r="426" spans="1:2">
      <c r="A426">
        <v>425</v>
      </c>
      <c r="B426" s="2">
        <v>288.93428713196073</v>
      </c>
    </row>
    <row r="427" spans="1:2">
      <c r="A427">
        <v>426</v>
      </c>
      <c r="B427" s="2">
        <v>384.8045463019721</v>
      </c>
    </row>
    <row r="428" spans="1:2">
      <c r="A428">
        <v>427</v>
      </c>
      <c r="B428" s="2">
        <v>366.36414200888134</v>
      </c>
    </row>
    <row r="429" spans="1:2">
      <c r="A429">
        <v>428</v>
      </c>
      <c r="B429" s="2">
        <v>460.65894177410831</v>
      </c>
    </row>
    <row r="430" spans="1:2">
      <c r="A430">
        <v>429</v>
      </c>
      <c r="B430" s="2">
        <v>294.25979070909523</v>
      </c>
    </row>
    <row r="431" spans="1:2">
      <c r="A431">
        <v>430</v>
      </c>
      <c r="B431" s="2">
        <v>353.36965121731197</v>
      </c>
    </row>
    <row r="432" spans="1:2">
      <c r="A432">
        <v>431</v>
      </c>
      <c r="B432" s="2">
        <v>376.1616772928013</v>
      </c>
    </row>
    <row r="433" spans="1:2">
      <c r="A433">
        <v>432</v>
      </c>
      <c r="B433" s="2">
        <v>335.01967111730414</v>
      </c>
    </row>
    <row r="434" spans="1:2">
      <c r="A434">
        <v>433</v>
      </c>
      <c r="B434" s="2">
        <v>314.10535108728294</v>
      </c>
    </row>
    <row r="435" spans="1:2">
      <c r="A435">
        <v>434</v>
      </c>
      <c r="B435" s="2">
        <v>337.89392622372804</v>
      </c>
    </row>
    <row r="436" spans="1:2">
      <c r="A436">
        <v>435</v>
      </c>
      <c r="B436" s="2">
        <v>266.34887301775632</v>
      </c>
    </row>
    <row r="437" spans="1:2">
      <c r="A437">
        <v>436</v>
      </c>
      <c r="B437" s="2">
        <v>278.29602486147002</v>
      </c>
    </row>
    <row r="438" spans="1:2">
      <c r="A438">
        <v>437</v>
      </c>
      <c r="B438" s="2">
        <v>249.39949873354135</v>
      </c>
    </row>
    <row r="439" spans="1:2">
      <c r="A439">
        <v>438</v>
      </c>
      <c r="B439" s="2">
        <v>328.59031400314149</v>
      </c>
    </row>
    <row r="440" spans="1:2">
      <c r="A440">
        <v>439</v>
      </c>
      <c r="B440" s="2">
        <v>284.62353453022553</v>
      </c>
    </row>
    <row r="441" spans="1:2">
      <c r="A441">
        <v>440</v>
      </c>
      <c r="B441" s="2">
        <v>299.85288000625371</v>
      </c>
    </row>
    <row r="442" spans="1:2">
      <c r="A442">
        <v>441</v>
      </c>
      <c r="B442" s="2">
        <v>420.45301680242403</v>
      </c>
    </row>
    <row r="443" spans="1:2">
      <c r="A443">
        <v>442</v>
      </c>
      <c r="B443" s="2">
        <v>362.60243399716097</v>
      </c>
    </row>
    <row r="444" spans="1:2">
      <c r="A444">
        <v>443</v>
      </c>
      <c r="B444" s="2">
        <v>242.35815598804464</v>
      </c>
    </row>
    <row r="445" spans="1:2">
      <c r="A445">
        <v>444</v>
      </c>
      <c r="B445" s="2">
        <v>374.99262636450879</v>
      </c>
    </row>
    <row r="446" spans="1:2">
      <c r="A446">
        <v>445</v>
      </c>
      <c r="B446" s="2">
        <v>310.49523260233917</v>
      </c>
    </row>
    <row r="447" spans="1:2">
      <c r="A447">
        <v>446</v>
      </c>
      <c r="B447" s="2">
        <v>371.74551055765698</v>
      </c>
    </row>
    <row r="448" spans="1:2">
      <c r="A448">
        <v>447</v>
      </c>
      <c r="B448" s="2">
        <v>363.08921139226322</v>
      </c>
    </row>
    <row r="449" spans="1:2">
      <c r="A449">
        <v>448</v>
      </c>
      <c r="B449" s="2">
        <v>307.34071939159907</v>
      </c>
    </row>
    <row r="450" spans="1:2">
      <c r="A450">
        <v>449</v>
      </c>
      <c r="B450" s="2">
        <v>266.4738363441769</v>
      </c>
    </row>
    <row r="451" spans="1:2">
      <c r="A451">
        <v>450</v>
      </c>
      <c r="B451" s="2">
        <v>358.93622440593163</v>
      </c>
    </row>
    <row r="452" spans="1:2">
      <c r="A452">
        <v>451</v>
      </c>
      <c r="B452" s="2">
        <v>406.44521691613863</v>
      </c>
    </row>
    <row r="453" spans="1:2">
      <c r="A453">
        <v>452</v>
      </c>
      <c r="B453" s="2">
        <v>376.42755911441509</v>
      </c>
    </row>
    <row r="454" spans="1:2">
      <c r="A454">
        <v>453</v>
      </c>
      <c r="B454" s="2">
        <v>382.44571668850966</v>
      </c>
    </row>
    <row r="455" spans="1:2">
      <c r="A455">
        <v>454</v>
      </c>
      <c r="B455" s="2">
        <v>444.46076642595256</v>
      </c>
    </row>
    <row r="456" spans="1:2">
      <c r="A456">
        <v>455</v>
      </c>
      <c r="B456" s="2">
        <v>531.01409123476219</v>
      </c>
    </row>
    <row r="457" spans="1:2">
      <c r="A457">
        <v>456</v>
      </c>
      <c r="B457" s="2">
        <v>400.04269433416505</v>
      </c>
    </row>
    <row r="458" spans="1:2">
      <c r="A458">
        <v>457</v>
      </c>
      <c r="B458" s="2">
        <v>116.58420517562097</v>
      </c>
    </row>
    <row r="459" spans="1:2">
      <c r="A459">
        <v>458</v>
      </c>
      <c r="B459" s="2">
        <v>330.3731839411206</v>
      </c>
    </row>
    <row r="460" spans="1:2">
      <c r="A460">
        <v>459</v>
      </c>
      <c r="B460" s="2">
        <v>372.83785862499235</v>
      </c>
    </row>
    <row r="461" spans="1:2">
      <c r="A461">
        <v>460</v>
      </c>
      <c r="B461" s="2">
        <v>251.18948587930294</v>
      </c>
    </row>
    <row r="462" spans="1:2">
      <c r="A462">
        <v>461</v>
      </c>
      <c r="B462" s="2">
        <v>331.89109650382636</v>
      </c>
    </row>
    <row r="463" spans="1:2">
      <c r="A463">
        <v>462</v>
      </c>
      <c r="B463" s="2">
        <v>251.5544733022297</v>
      </c>
    </row>
    <row r="464" spans="1:2">
      <c r="A464">
        <v>463</v>
      </c>
      <c r="B464" s="2">
        <v>377.3281745573899</v>
      </c>
    </row>
    <row r="465" spans="1:2">
      <c r="A465">
        <v>464</v>
      </c>
      <c r="B465" s="2">
        <v>426.73039712245691</v>
      </c>
    </row>
    <row r="466" spans="1:2">
      <c r="A466">
        <v>465</v>
      </c>
      <c r="B466" s="2">
        <v>300.81443833351904</v>
      </c>
    </row>
    <row r="467" spans="1:2">
      <c r="A467">
        <v>466</v>
      </c>
      <c r="B467" s="2">
        <v>190.8992897906688</v>
      </c>
    </row>
    <row r="468" spans="1:2">
      <c r="A468">
        <v>467</v>
      </c>
      <c r="B468" s="2">
        <v>331.95526463972203</v>
      </c>
    </row>
    <row r="469" spans="1:2">
      <c r="A469">
        <v>468</v>
      </c>
      <c r="B469" s="2">
        <v>418.10407312398314</v>
      </c>
    </row>
    <row r="470" spans="1:2">
      <c r="A470">
        <v>469</v>
      </c>
      <c r="B470" s="2">
        <v>399.06776456696826</v>
      </c>
    </row>
    <row r="471" spans="1:2">
      <c r="A471">
        <v>470</v>
      </c>
      <c r="B471" s="2">
        <v>320.25490658472552</v>
      </c>
    </row>
    <row r="472" spans="1:2">
      <c r="A472">
        <v>471</v>
      </c>
      <c r="B472" s="2">
        <v>212.28497168569544</v>
      </c>
    </row>
    <row r="473" spans="1:2">
      <c r="A473">
        <v>472</v>
      </c>
      <c r="B473" s="2">
        <v>280.23871362002762</v>
      </c>
    </row>
    <row r="474" spans="1:2">
      <c r="A474">
        <v>473</v>
      </c>
      <c r="B474" s="2">
        <v>461.01022710560335</v>
      </c>
    </row>
    <row r="475" spans="1:2">
      <c r="A475">
        <v>474</v>
      </c>
      <c r="B475" s="2">
        <v>575.57231155988211</v>
      </c>
    </row>
    <row r="476" spans="1:2">
      <c r="A476">
        <v>475</v>
      </c>
      <c r="B476" s="2">
        <v>442.29722001311245</v>
      </c>
    </row>
    <row r="477" spans="1:2">
      <c r="A477">
        <v>476</v>
      </c>
      <c r="B477" s="2">
        <v>246.56962568281102</v>
      </c>
    </row>
    <row r="478" spans="1:2">
      <c r="A478">
        <v>477</v>
      </c>
      <c r="B478" s="2">
        <v>445.70502089406568</v>
      </c>
    </row>
    <row r="479" spans="1:2">
      <c r="A479">
        <v>478</v>
      </c>
      <c r="B479" s="2">
        <v>461.95153678310896</v>
      </c>
    </row>
    <row r="480" spans="1:2">
      <c r="A480">
        <v>479</v>
      </c>
      <c r="B480" s="2">
        <v>229.80565719603243</v>
      </c>
    </row>
    <row r="481" spans="1:2">
      <c r="A481">
        <v>480</v>
      </c>
      <c r="B481" s="2">
        <v>318.87005600480296</v>
      </c>
    </row>
    <row r="482" spans="1:2">
      <c r="A482">
        <v>481</v>
      </c>
      <c r="B482" s="2">
        <v>200.37284535968209</v>
      </c>
    </row>
    <row r="483" spans="1:2">
      <c r="A483">
        <v>482</v>
      </c>
      <c r="B483" s="2">
        <v>450.08164798920455</v>
      </c>
    </row>
    <row r="484" spans="1:2">
      <c r="A484">
        <v>483</v>
      </c>
      <c r="B484" s="2">
        <v>321.13506949695358</v>
      </c>
    </row>
    <row r="485" spans="1:2">
      <c r="A485">
        <v>484</v>
      </c>
      <c r="B485" s="2">
        <v>427.25504849447543</v>
      </c>
    </row>
    <row r="486" spans="1:2">
      <c r="A486">
        <v>485</v>
      </c>
      <c r="B486" s="2">
        <v>358.95802610384953</v>
      </c>
    </row>
    <row r="487" spans="1:2">
      <c r="A487">
        <v>486</v>
      </c>
      <c r="B487" s="2">
        <v>370.05167865383225</v>
      </c>
    </row>
    <row r="488" spans="1:2">
      <c r="A488">
        <v>487</v>
      </c>
      <c r="B488" s="2">
        <v>357.62867491131112</v>
      </c>
    </row>
    <row r="489" spans="1:2">
      <c r="A489">
        <v>488</v>
      </c>
      <c r="B489" s="2">
        <v>271.18836780444025</v>
      </c>
    </row>
    <row r="490" spans="1:2">
      <c r="A490">
        <v>489</v>
      </c>
      <c r="B490" s="2">
        <v>323.0477606788458</v>
      </c>
    </row>
    <row r="491" spans="1:2">
      <c r="A491">
        <v>490</v>
      </c>
      <c r="B491" s="2">
        <v>331.40947240326045</v>
      </c>
    </row>
    <row r="492" spans="1:2">
      <c r="A492">
        <v>491</v>
      </c>
      <c r="B492" s="2">
        <v>381.96965862543004</v>
      </c>
    </row>
    <row r="493" spans="1:2">
      <c r="A493">
        <v>492</v>
      </c>
      <c r="B493" s="2">
        <v>357.92197813217615</v>
      </c>
    </row>
    <row r="494" spans="1:2">
      <c r="A494">
        <v>493</v>
      </c>
      <c r="B494" s="2">
        <v>482.21099793405841</v>
      </c>
    </row>
    <row r="495" spans="1:2">
      <c r="A495">
        <v>494</v>
      </c>
      <c r="B495" s="2">
        <v>410.55673679102563</v>
      </c>
    </row>
    <row r="496" spans="1:2">
      <c r="A496">
        <v>495</v>
      </c>
      <c r="B496" s="2">
        <v>410.883176344037</v>
      </c>
    </row>
    <row r="497" spans="1:2">
      <c r="A497">
        <v>496</v>
      </c>
      <c r="B497" s="2">
        <v>321.9492336892597</v>
      </c>
    </row>
    <row r="498" spans="1:2">
      <c r="A498">
        <v>497</v>
      </c>
      <c r="B498" s="2">
        <v>355.11479411845642</v>
      </c>
    </row>
    <row r="499" spans="1:2">
      <c r="A499">
        <v>498</v>
      </c>
      <c r="B499" s="2">
        <v>347.89476474878165</v>
      </c>
    </row>
    <row r="500" spans="1:2">
      <c r="A500">
        <v>499</v>
      </c>
      <c r="B500" s="2">
        <v>346.56255027959321</v>
      </c>
    </row>
    <row r="501" spans="1:2">
      <c r="A501">
        <v>500</v>
      </c>
      <c r="B501" s="2">
        <v>402.36815159112268</v>
      </c>
    </row>
    <row r="502" spans="1:2">
      <c r="A502">
        <v>501</v>
      </c>
      <c r="B502" s="2">
        <v>417.45777842722026</v>
      </c>
    </row>
    <row r="503" spans="1:2">
      <c r="A503">
        <v>502</v>
      </c>
      <c r="B503" s="2">
        <v>451.79487945910449</v>
      </c>
    </row>
    <row r="504" spans="1:2">
      <c r="A504">
        <v>503</v>
      </c>
      <c r="B504" s="2">
        <v>368.37420916794758</v>
      </c>
    </row>
    <row r="505" spans="1:2">
      <c r="A505">
        <v>504</v>
      </c>
      <c r="B505" s="2">
        <v>327.05258108451301</v>
      </c>
    </row>
    <row r="506" spans="1:2">
      <c r="A506">
        <v>505</v>
      </c>
      <c r="B506" s="2">
        <v>400.09016397808068</v>
      </c>
    </row>
    <row r="507" spans="1:2">
      <c r="A507">
        <v>506</v>
      </c>
      <c r="B507" s="2">
        <v>433.561871623071</v>
      </c>
    </row>
    <row r="508" spans="1:2">
      <c r="A508">
        <v>507</v>
      </c>
      <c r="B508" s="2">
        <v>380.25950749239746</v>
      </c>
    </row>
    <row r="509" spans="1:2">
      <c r="A509">
        <v>508</v>
      </c>
      <c r="B509" s="2">
        <v>248.47982123953506</v>
      </c>
    </row>
    <row r="510" spans="1:2">
      <c r="A510">
        <v>509</v>
      </c>
      <c r="B510" s="2">
        <v>388.82952073867307</v>
      </c>
    </row>
    <row r="511" spans="1:2">
      <c r="A511">
        <v>510</v>
      </c>
      <c r="B511" s="2">
        <v>444.88659325776018</v>
      </c>
    </row>
    <row r="512" spans="1:2">
      <c r="A512">
        <v>511</v>
      </c>
      <c r="B512" s="2">
        <v>236.83863835969723</v>
      </c>
    </row>
    <row r="513" spans="1:2">
      <c r="A513">
        <v>512</v>
      </c>
      <c r="B513" s="2">
        <v>407.62899374341129</v>
      </c>
    </row>
    <row r="514" spans="1:2">
      <c r="A514">
        <v>513</v>
      </c>
      <c r="B514" s="2">
        <v>415.66309623039513</v>
      </c>
    </row>
    <row r="515" spans="1:2">
      <c r="A515">
        <v>514</v>
      </c>
      <c r="B515" s="2">
        <v>395.34748004249047</v>
      </c>
    </row>
    <row r="516" spans="1:2">
      <c r="A516">
        <v>515</v>
      </c>
      <c r="B516" s="2">
        <v>347.2002218711383</v>
      </c>
    </row>
    <row r="517" spans="1:2">
      <c r="A517">
        <v>516</v>
      </c>
      <c r="B517" s="2">
        <v>303.61846693144673</v>
      </c>
    </row>
    <row r="518" spans="1:2">
      <c r="A518">
        <v>517</v>
      </c>
      <c r="B518" s="2">
        <v>462.05824432451607</v>
      </c>
    </row>
    <row r="519" spans="1:2">
      <c r="A519">
        <v>518</v>
      </c>
      <c r="B519" s="2">
        <v>340.87324955364164</v>
      </c>
    </row>
    <row r="520" spans="1:2">
      <c r="A520">
        <v>519</v>
      </c>
      <c r="B520" s="2">
        <v>299.12896136667382</v>
      </c>
    </row>
    <row r="521" spans="1:2">
      <c r="A521">
        <v>520</v>
      </c>
      <c r="B521" s="2">
        <v>404.77207175380528</v>
      </c>
    </row>
    <row r="522" spans="1:2">
      <c r="A522">
        <v>521</v>
      </c>
      <c r="B522" s="2">
        <v>316.32656710130544</v>
      </c>
    </row>
    <row r="523" spans="1:2">
      <c r="A523">
        <v>522</v>
      </c>
      <c r="B523" s="2">
        <v>293.35429141974231</v>
      </c>
    </row>
    <row r="524" spans="1:2">
      <c r="A524">
        <v>523</v>
      </c>
      <c r="B524" s="2">
        <v>348.93213666591657</v>
      </c>
    </row>
    <row r="525" spans="1:2">
      <c r="A525">
        <v>524</v>
      </c>
      <c r="B525" s="2">
        <v>195.16072591130504</v>
      </c>
    </row>
    <row r="526" spans="1:2">
      <c r="A526">
        <v>525</v>
      </c>
      <c r="B526" s="2">
        <v>233.20328123209563</v>
      </c>
    </row>
    <row r="527" spans="1:2">
      <c r="A527">
        <v>526</v>
      </c>
      <c r="B527" s="2">
        <v>236.40583805034731</v>
      </c>
    </row>
    <row r="528" spans="1:2">
      <c r="A528">
        <v>527</v>
      </c>
      <c r="B528" s="2">
        <v>311.22135154280943</v>
      </c>
    </row>
    <row r="529" spans="1:2">
      <c r="A529">
        <v>528</v>
      </c>
      <c r="B529" s="2">
        <v>526.86582769749043</v>
      </c>
    </row>
    <row r="530" spans="1:2">
      <c r="A530">
        <v>529</v>
      </c>
      <c r="B530" s="2">
        <v>192.62739339164298</v>
      </c>
    </row>
    <row r="531" spans="1:2">
      <c r="A531">
        <v>530</v>
      </c>
      <c r="B531" s="2">
        <v>473.01125319778441</v>
      </c>
    </row>
    <row r="532" spans="1:2">
      <c r="A532">
        <v>531</v>
      </c>
      <c r="B532" s="2">
        <v>368.20951388656033</v>
      </c>
    </row>
    <row r="533" spans="1:2">
      <c r="A533">
        <v>532</v>
      </c>
      <c r="B533" s="2">
        <v>431.35146775211723</v>
      </c>
    </row>
    <row r="534" spans="1:2">
      <c r="A534">
        <v>533</v>
      </c>
      <c r="B534" s="2">
        <v>209.39622597341395</v>
      </c>
    </row>
    <row r="535" spans="1:2">
      <c r="A535">
        <v>534</v>
      </c>
      <c r="B535" s="2">
        <v>390.72512346862635</v>
      </c>
    </row>
    <row r="536" spans="1:2">
      <c r="A536">
        <v>535</v>
      </c>
      <c r="B536" s="2">
        <v>258.51158044728436</v>
      </c>
    </row>
    <row r="537" spans="1:2">
      <c r="A537">
        <v>536</v>
      </c>
      <c r="B537" s="2">
        <v>426.33662566087025</v>
      </c>
    </row>
    <row r="538" spans="1:2">
      <c r="A538">
        <v>537</v>
      </c>
      <c r="B538" s="2">
        <v>368.90169205459631</v>
      </c>
    </row>
    <row r="539" spans="1:2">
      <c r="A539">
        <v>538</v>
      </c>
      <c r="B539" s="2">
        <v>204.333847490278</v>
      </c>
    </row>
    <row r="540" spans="1:2">
      <c r="A540">
        <v>539</v>
      </c>
      <c r="B540" s="2">
        <v>360.90289819822925</v>
      </c>
    </row>
    <row r="541" spans="1:2">
      <c r="A541">
        <v>540</v>
      </c>
      <c r="B541" s="2">
        <v>363.52318971899211</v>
      </c>
    </row>
    <row r="542" spans="1:2">
      <c r="A542">
        <v>541</v>
      </c>
      <c r="B542" s="2">
        <v>228.36155677690641</v>
      </c>
    </row>
    <row r="543" spans="1:2">
      <c r="A543">
        <v>542</v>
      </c>
      <c r="B543" s="2">
        <v>415.74042333217454</v>
      </c>
    </row>
    <row r="544" spans="1:2">
      <c r="A544">
        <v>543</v>
      </c>
      <c r="B544" s="2">
        <v>183.89477463366762</v>
      </c>
    </row>
    <row r="545" spans="1:2">
      <c r="A545">
        <v>544</v>
      </c>
      <c r="B545" s="2">
        <v>234.5000596830476</v>
      </c>
    </row>
    <row r="546" spans="1:2">
      <c r="A546">
        <v>545</v>
      </c>
      <c r="B546" s="2">
        <v>384.50286055363415</v>
      </c>
    </row>
    <row r="547" spans="1:2">
      <c r="A547">
        <v>546</v>
      </c>
      <c r="B547" s="2">
        <v>231.2754305436745</v>
      </c>
    </row>
    <row r="548" spans="1:2">
      <c r="A548">
        <v>547</v>
      </c>
      <c r="B548" s="2">
        <v>468.2561063582844</v>
      </c>
    </row>
    <row r="549" spans="1:2">
      <c r="A549">
        <v>548</v>
      </c>
      <c r="B549" s="2">
        <v>382.74758450270411</v>
      </c>
    </row>
    <row r="550" spans="1:2">
      <c r="A550">
        <v>549</v>
      </c>
      <c r="B550" s="2">
        <v>310.3535602626622</v>
      </c>
    </row>
    <row r="551" spans="1:2">
      <c r="A551">
        <v>550</v>
      </c>
      <c r="B551" s="2">
        <v>246.92899296656401</v>
      </c>
    </row>
    <row r="552" spans="1:2">
      <c r="A552">
        <v>551</v>
      </c>
      <c r="B552" s="2">
        <v>426.20808599257532</v>
      </c>
    </row>
    <row r="553" spans="1:2">
      <c r="A553">
        <v>552</v>
      </c>
      <c r="B553" s="2">
        <v>229.69862918233758</v>
      </c>
    </row>
    <row r="554" spans="1:2">
      <c r="A554">
        <v>553</v>
      </c>
      <c r="B554" s="2">
        <v>471.14047162125127</v>
      </c>
    </row>
    <row r="555" spans="1:2">
      <c r="A555">
        <v>554</v>
      </c>
      <c r="B555" s="2">
        <v>373.59832599783334</v>
      </c>
    </row>
    <row r="556" spans="1:2">
      <c r="A556">
        <v>555</v>
      </c>
      <c r="B556" s="2">
        <v>306.68941933901516</v>
      </c>
    </row>
    <row r="557" spans="1:2">
      <c r="A557">
        <v>556</v>
      </c>
      <c r="B557" s="2">
        <v>428.7683168366882</v>
      </c>
    </row>
    <row r="558" spans="1:2">
      <c r="A558">
        <v>557</v>
      </c>
      <c r="B558" s="2">
        <v>360.77015408266521</v>
      </c>
    </row>
    <row r="559" spans="1:2">
      <c r="A559">
        <v>558</v>
      </c>
      <c r="B559" s="2">
        <v>248.29509822575707</v>
      </c>
    </row>
    <row r="560" spans="1:2">
      <c r="A560">
        <v>559</v>
      </c>
      <c r="B560" s="2">
        <v>398.09916378296032</v>
      </c>
    </row>
    <row r="561" spans="1:2">
      <c r="A561">
        <v>560</v>
      </c>
      <c r="B561" s="2">
        <v>289.64058329238168</v>
      </c>
    </row>
    <row r="562" spans="1:2">
      <c r="A562">
        <v>561</v>
      </c>
      <c r="B562" s="2">
        <v>336.31670868459207</v>
      </c>
    </row>
    <row r="563" spans="1:2">
      <c r="A563">
        <v>562</v>
      </c>
      <c r="B563" s="2">
        <v>478.65868270751014</v>
      </c>
    </row>
    <row r="564" spans="1:2">
      <c r="A564">
        <v>563</v>
      </c>
      <c r="B564" s="2">
        <v>379.52658467141055</v>
      </c>
    </row>
    <row r="565" spans="1:2">
      <c r="A565">
        <v>564</v>
      </c>
      <c r="B565" s="2">
        <v>393.63142966366303</v>
      </c>
    </row>
    <row r="566" spans="1:2">
      <c r="A566">
        <v>565</v>
      </c>
      <c r="B566" s="2">
        <v>352.89571757955491</v>
      </c>
    </row>
    <row r="567" spans="1:2">
      <c r="A567">
        <v>566</v>
      </c>
      <c r="B567" s="2">
        <v>414.2285847222513</v>
      </c>
    </row>
    <row r="568" spans="1:2">
      <c r="A568">
        <v>567</v>
      </c>
      <c r="B568" s="2">
        <v>274.15884567455174</v>
      </c>
    </row>
    <row r="569" spans="1:2">
      <c r="A569">
        <v>568</v>
      </c>
      <c r="B569" s="2">
        <v>367.04690009834775</v>
      </c>
    </row>
    <row r="570" spans="1:2">
      <c r="A570">
        <v>569</v>
      </c>
      <c r="B570" s="2">
        <v>285.23033989684012</v>
      </c>
    </row>
    <row r="571" spans="1:2">
      <c r="A571">
        <v>570</v>
      </c>
      <c r="B571" s="2">
        <v>238.23271873604352</v>
      </c>
    </row>
    <row r="572" spans="1:2">
      <c r="A572">
        <v>571</v>
      </c>
      <c r="B572" s="2">
        <v>289.07572104724352</v>
      </c>
    </row>
    <row r="573" spans="1:2">
      <c r="A573">
        <v>572</v>
      </c>
      <c r="B573" s="2">
        <v>325.86402695139407</v>
      </c>
    </row>
    <row r="574" spans="1:2">
      <c r="A574">
        <v>573</v>
      </c>
      <c r="B574" s="2">
        <v>263.96394953658591</v>
      </c>
    </row>
    <row r="575" spans="1:2">
      <c r="A575">
        <v>574</v>
      </c>
      <c r="B575" s="2">
        <v>406.98526846420231</v>
      </c>
    </row>
    <row r="576" spans="1:2">
      <c r="A576">
        <v>575</v>
      </c>
      <c r="B576" s="2">
        <v>223.89243786870821</v>
      </c>
    </row>
    <row r="577" spans="1:2">
      <c r="A577">
        <v>576</v>
      </c>
      <c r="B577" s="2">
        <v>414.34651736385814</v>
      </c>
    </row>
    <row r="578" spans="1:2">
      <c r="A578">
        <v>577</v>
      </c>
      <c r="B578" s="2">
        <v>393.42268523246923</v>
      </c>
    </row>
    <row r="579" spans="1:2">
      <c r="A579">
        <v>578</v>
      </c>
      <c r="B579" s="2">
        <v>446.12152825167072</v>
      </c>
    </row>
    <row r="580" spans="1:2">
      <c r="A580">
        <v>579</v>
      </c>
      <c r="B580" s="2">
        <v>276.40402996044048</v>
      </c>
    </row>
    <row r="581" spans="1:2">
      <c r="A581">
        <v>580</v>
      </c>
      <c r="B581" s="2">
        <v>297.21439394085712</v>
      </c>
    </row>
    <row r="582" spans="1:2">
      <c r="A582">
        <v>581</v>
      </c>
      <c r="B582" s="2">
        <v>382.97397078276771</v>
      </c>
    </row>
    <row r="583" spans="1:2">
      <c r="A583">
        <v>582</v>
      </c>
      <c r="B583" s="2">
        <v>275.64741241576479</v>
      </c>
    </row>
    <row r="584" spans="1:2">
      <c r="A584">
        <v>583</v>
      </c>
      <c r="B584" s="2">
        <v>418.98452054115427</v>
      </c>
    </row>
    <row r="585" spans="1:2">
      <c r="A585">
        <v>584</v>
      </c>
      <c r="B585" s="2">
        <v>336.62789967964466</v>
      </c>
    </row>
    <row r="586" spans="1:2">
      <c r="A586">
        <v>585</v>
      </c>
      <c r="B586" s="2">
        <v>351.39309247791579</v>
      </c>
    </row>
    <row r="587" spans="1:2">
      <c r="A587">
        <v>586</v>
      </c>
      <c r="B587" s="2">
        <v>420.02658611777156</v>
      </c>
    </row>
    <row r="588" spans="1:2">
      <c r="A588">
        <v>587</v>
      </c>
      <c r="B588" s="2">
        <v>324.83487364774112</v>
      </c>
    </row>
    <row r="589" spans="1:2">
      <c r="A589">
        <v>588</v>
      </c>
      <c r="B589" s="2">
        <v>384.80496410163153</v>
      </c>
    </row>
    <row r="590" spans="1:2">
      <c r="A590">
        <v>589</v>
      </c>
      <c r="B590" s="2">
        <v>328.74982200847813</v>
      </c>
    </row>
    <row r="591" spans="1:2">
      <c r="A591">
        <v>590</v>
      </c>
      <c r="B591" s="2">
        <v>378.16152071225224</v>
      </c>
    </row>
    <row r="592" spans="1:2">
      <c r="A592">
        <v>591</v>
      </c>
      <c r="B592" s="2">
        <v>288.37088269672211</v>
      </c>
    </row>
    <row r="593" spans="1:2">
      <c r="A593">
        <v>592</v>
      </c>
      <c r="B593" s="2">
        <v>296.26098590788291</v>
      </c>
    </row>
    <row r="594" spans="1:2">
      <c r="A594">
        <v>593</v>
      </c>
      <c r="B594" s="2">
        <v>363.09588865830182</v>
      </c>
    </row>
    <row r="595" spans="1:2">
      <c r="A595">
        <v>594</v>
      </c>
      <c r="B595" s="2">
        <v>383.28923724235256</v>
      </c>
    </row>
    <row r="596" spans="1:2">
      <c r="A596">
        <v>595</v>
      </c>
      <c r="B596" s="2">
        <v>376.82045715137286</v>
      </c>
    </row>
    <row r="597" spans="1:2">
      <c r="A597">
        <v>596</v>
      </c>
      <c r="B597" s="2">
        <v>284.40020006040658</v>
      </c>
    </row>
    <row r="598" spans="1:2">
      <c r="A598">
        <v>597</v>
      </c>
      <c r="B598" s="2">
        <v>403.19266403285502</v>
      </c>
    </row>
    <row r="599" spans="1:2">
      <c r="A599">
        <v>598</v>
      </c>
      <c r="B599" s="2">
        <v>286.51745967678505</v>
      </c>
    </row>
    <row r="600" spans="1:2">
      <c r="A600">
        <v>599</v>
      </c>
      <c r="B600" s="2">
        <v>369.8666745252217</v>
      </c>
    </row>
    <row r="601" spans="1:2">
      <c r="A601">
        <v>600</v>
      </c>
      <c r="B601" s="2">
        <v>366.92588769931081</v>
      </c>
    </row>
    <row r="602" spans="1:2">
      <c r="A602">
        <v>601</v>
      </c>
      <c r="B602" s="2">
        <v>190.79934085260447</v>
      </c>
    </row>
    <row r="603" spans="1:2">
      <c r="A603">
        <v>602</v>
      </c>
      <c r="B603" s="2">
        <v>229.06071851931</v>
      </c>
    </row>
    <row r="604" spans="1:2">
      <c r="A604">
        <v>603</v>
      </c>
      <c r="B604" s="2">
        <v>179.1333250264197</v>
      </c>
    </row>
    <row r="605" spans="1:2">
      <c r="A605">
        <v>604</v>
      </c>
      <c r="B605" s="2">
        <v>211.5631236166895</v>
      </c>
    </row>
    <row r="606" spans="1:2">
      <c r="A606">
        <v>605</v>
      </c>
      <c r="B606" s="2">
        <v>368.41567738936692</v>
      </c>
    </row>
    <row r="607" spans="1:2">
      <c r="A607">
        <v>606</v>
      </c>
      <c r="B607" s="2">
        <v>290.66777250927811</v>
      </c>
    </row>
    <row r="608" spans="1:2">
      <c r="A608">
        <v>607</v>
      </c>
      <c r="B608" s="2">
        <v>318.08222053791002</v>
      </c>
    </row>
    <row r="609" spans="1:2">
      <c r="A609">
        <v>608</v>
      </c>
      <c r="B609" s="2">
        <v>301.0381407085415</v>
      </c>
    </row>
    <row r="610" spans="1:2">
      <c r="A610">
        <v>609</v>
      </c>
      <c r="B610" s="2">
        <v>425.6243223115215</v>
      </c>
    </row>
    <row r="611" spans="1:2">
      <c r="A611">
        <v>610</v>
      </c>
      <c r="B611" s="2">
        <v>327.09423779617907</v>
      </c>
    </row>
    <row r="612" spans="1:2">
      <c r="A612">
        <v>611</v>
      </c>
      <c r="B612" s="2">
        <v>269.23448780066963</v>
      </c>
    </row>
    <row r="613" spans="1:2">
      <c r="A613">
        <v>612</v>
      </c>
      <c r="B613" s="2">
        <v>390.7515526799524</v>
      </c>
    </row>
    <row r="614" spans="1:2">
      <c r="A614">
        <v>613</v>
      </c>
      <c r="B614" s="2">
        <v>380.6747045325227</v>
      </c>
    </row>
    <row r="615" spans="1:2">
      <c r="A615">
        <v>614</v>
      </c>
      <c r="B615" s="2">
        <v>264.295635562038</v>
      </c>
    </row>
    <row r="616" spans="1:2">
      <c r="A616">
        <v>615</v>
      </c>
      <c r="B616" s="2">
        <v>304.97724033726223</v>
      </c>
    </row>
    <row r="617" spans="1:2">
      <c r="A617">
        <v>616</v>
      </c>
      <c r="B617" s="2">
        <v>245.26124051628503</v>
      </c>
    </row>
    <row r="618" spans="1:2">
      <c r="A618">
        <v>617</v>
      </c>
      <c r="B618" s="2">
        <v>235.71794939544236</v>
      </c>
    </row>
    <row r="619" spans="1:2">
      <c r="A619">
        <v>618</v>
      </c>
      <c r="B619" s="2">
        <v>292.90673964193377</v>
      </c>
    </row>
    <row r="620" spans="1:2">
      <c r="A620">
        <v>619</v>
      </c>
      <c r="B620" s="2">
        <v>364.94683150985441</v>
      </c>
    </row>
    <row r="621" spans="1:2">
      <c r="A621">
        <v>620</v>
      </c>
      <c r="B621" s="2">
        <v>374.8646126963074</v>
      </c>
    </row>
    <row r="622" spans="1:2">
      <c r="A622">
        <v>621</v>
      </c>
      <c r="B622" s="2">
        <v>245.74054271855735</v>
      </c>
    </row>
    <row r="623" spans="1:2">
      <c r="A623">
        <v>622</v>
      </c>
      <c r="B623" s="2">
        <v>441.06804693616516</v>
      </c>
    </row>
    <row r="624" spans="1:2">
      <c r="A624">
        <v>623</v>
      </c>
      <c r="B624" s="2">
        <v>399.92523557181914</v>
      </c>
    </row>
    <row r="625" spans="1:2">
      <c r="A625">
        <v>624</v>
      </c>
      <c r="B625" s="2">
        <v>314.94457024693662</v>
      </c>
    </row>
    <row r="626" spans="1:2">
      <c r="A626">
        <v>625</v>
      </c>
      <c r="B626" s="2">
        <v>328.43297297250729</v>
      </c>
    </row>
    <row r="627" spans="1:2">
      <c r="A627">
        <v>626</v>
      </c>
      <c r="B627" s="2">
        <v>308.96191600695585</v>
      </c>
    </row>
    <row r="628" spans="1:2">
      <c r="A628">
        <v>627</v>
      </c>
      <c r="B628" s="2">
        <v>330.78717089438703</v>
      </c>
    </row>
    <row r="629" spans="1:2">
      <c r="A629">
        <v>628</v>
      </c>
      <c r="B629" s="2">
        <v>371.87738617994785</v>
      </c>
    </row>
    <row r="630" spans="1:2">
      <c r="A630">
        <v>629</v>
      </c>
      <c r="B630" s="2">
        <v>384.73957604027453</v>
      </c>
    </row>
    <row r="631" spans="1:2">
      <c r="A631">
        <v>630</v>
      </c>
      <c r="B631" s="2">
        <v>346.36980097482638</v>
      </c>
    </row>
    <row r="632" spans="1:2">
      <c r="A632">
        <v>631</v>
      </c>
      <c r="B632" s="2">
        <v>297.92898082072412</v>
      </c>
    </row>
    <row r="633" spans="1:2">
      <c r="A633">
        <v>632</v>
      </c>
      <c r="B633" s="2">
        <v>287.1948420398308</v>
      </c>
    </row>
    <row r="634" spans="1:2">
      <c r="A634">
        <v>633</v>
      </c>
      <c r="B634" s="2">
        <v>310.00218938425644</v>
      </c>
    </row>
    <row r="635" spans="1:2">
      <c r="A635">
        <v>634</v>
      </c>
      <c r="B635" s="2">
        <v>337.90315478601269</v>
      </c>
    </row>
    <row r="636" spans="1:2">
      <c r="A636">
        <v>635</v>
      </c>
      <c r="B636" s="2">
        <v>490.44578202554254</v>
      </c>
    </row>
    <row r="637" spans="1:2">
      <c r="A637">
        <v>636</v>
      </c>
      <c r="B637" s="2">
        <v>421.20545240958916</v>
      </c>
    </row>
    <row r="638" spans="1:2">
      <c r="A638">
        <v>637</v>
      </c>
      <c r="B638" s="2">
        <v>489.07074558231733</v>
      </c>
    </row>
    <row r="639" spans="1:2">
      <c r="A639">
        <v>638</v>
      </c>
      <c r="B639" s="2">
        <v>360.03666546381754</v>
      </c>
    </row>
    <row r="640" spans="1:2">
      <c r="A640">
        <v>639</v>
      </c>
      <c r="B640" s="2">
        <v>282.4541743736778</v>
      </c>
    </row>
    <row r="641" spans="1:2">
      <c r="A641">
        <v>640</v>
      </c>
      <c r="B641" s="2">
        <v>329.35191901892449</v>
      </c>
    </row>
    <row r="642" spans="1:2">
      <c r="A642">
        <v>641</v>
      </c>
      <c r="B642" s="2">
        <v>358.95162342693419</v>
      </c>
    </row>
    <row r="643" spans="1:2">
      <c r="A643">
        <v>642</v>
      </c>
      <c r="B643" s="2">
        <v>260.68143582017655</v>
      </c>
    </row>
    <row r="644" spans="1:2">
      <c r="A644">
        <v>643</v>
      </c>
      <c r="B644" s="2">
        <v>338.05605706555593</v>
      </c>
    </row>
    <row r="645" spans="1:2">
      <c r="A645">
        <v>644</v>
      </c>
      <c r="B645" s="2">
        <v>377.02987391476722</v>
      </c>
    </row>
    <row r="646" spans="1:2">
      <c r="A646">
        <v>645</v>
      </c>
      <c r="B646" s="2">
        <v>280.39526844641534</v>
      </c>
    </row>
    <row r="647" spans="1:2">
      <c r="A647">
        <v>646</v>
      </c>
      <c r="B647" s="2">
        <v>230.6065793749859</v>
      </c>
    </row>
    <row r="648" spans="1:2">
      <c r="A648">
        <v>647</v>
      </c>
      <c r="B648" s="2">
        <v>365.76186770970418</v>
      </c>
    </row>
    <row r="649" spans="1:2">
      <c r="A649">
        <v>648</v>
      </c>
      <c r="B649" s="2">
        <v>264.11603567866842</v>
      </c>
    </row>
    <row r="650" spans="1:2">
      <c r="A650">
        <v>649</v>
      </c>
      <c r="B650" s="2">
        <v>318.45236686298335</v>
      </c>
    </row>
    <row r="651" spans="1:2">
      <c r="A651">
        <v>650</v>
      </c>
      <c r="B651" s="2">
        <v>452.95609398867055</v>
      </c>
    </row>
    <row r="652" spans="1:2">
      <c r="A652">
        <v>651</v>
      </c>
      <c r="B652" s="2">
        <v>189.34603401573219</v>
      </c>
    </row>
    <row r="653" spans="1:2">
      <c r="A653">
        <v>652</v>
      </c>
      <c r="B653" s="2">
        <v>272.6286022824649</v>
      </c>
    </row>
    <row r="654" spans="1:2">
      <c r="A654">
        <v>653</v>
      </c>
      <c r="B654" s="2">
        <v>325.16848094786633</v>
      </c>
    </row>
    <row r="655" spans="1:2">
      <c r="A655">
        <v>654</v>
      </c>
      <c r="B655" s="2">
        <v>388.09952483155234</v>
      </c>
    </row>
    <row r="656" spans="1:2">
      <c r="A656">
        <v>655</v>
      </c>
      <c r="B656" s="2">
        <v>269.50383793856588</v>
      </c>
    </row>
    <row r="657" spans="1:2">
      <c r="A657">
        <v>656</v>
      </c>
      <c r="B657" s="2">
        <v>304.76281643784432</v>
      </c>
    </row>
    <row r="658" spans="1:2">
      <c r="A658">
        <v>657</v>
      </c>
      <c r="B658" s="2">
        <v>324.7644281675469</v>
      </c>
    </row>
    <row r="659" spans="1:2">
      <c r="A659">
        <v>658</v>
      </c>
      <c r="B659" s="2">
        <v>277.45651421126757</v>
      </c>
    </row>
    <row r="660" spans="1:2">
      <c r="A660">
        <v>659</v>
      </c>
      <c r="B660" s="2">
        <v>278.62855715374269</v>
      </c>
    </row>
    <row r="661" spans="1:2">
      <c r="A661">
        <v>660</v>
      </c>
      <c r="B661" s="2">
        <v>298.19671430775418</v>
      </c>
    </row>
    <row r="662" spans="1:2">
      <c r="A662">
        <v>661</v>
      </c>
      <c r="B662" s="2">
        <v>217.71045012076854</v>
      </c>
    </row>
    <row r="663" spans="1:2">
      <c r="A663">
        <v>662</v>
      </c>
      <c r="B663" s="2">
        <v>492.50727399290486</v>
      </c>
    </row>
    <row r="664" spans="1:2">
      <c r="A664">
        <v>663</v>
      </c>
      <c r="B664" s="2">
        <v>390.63971729022398</v>
      </c>
    </row>
    <row r="665" spans="1:2">
      <c r="A665">
        <v>664</v>
      </c>
      <c r="B665" s="2">
        <v>353.14586125197172</v>
      </c>
    </row>
    <row r="666" spans="1:2">
      <c r="A666">
        <v>665</v>
      </c>
      <c r="B666" s="2">
        <v>384.03562606091407</v>
      </c>
    </row>
    <row r="667" spans="1:2">
      <c r="A667">
        <v>666</v>
      </c>
      <c r="B667" s="2">
        <v>356.28504098787442</v>
      </c>
    </row>
    <row r="668" spans="1:2">
      <c r="A668">
        <v>667</v>
      </c>
      <c r="B668" s="2">
        <v>351.85905183102454</v>
      </c>
    </row>
    <row r="669" spans="1:2">
      <c r="A669">
        <v>668</v>
      </c>
      <c r="B669" s="2">
        <v>398.93633136784723</v>
      </c>
    </row>
    <row r="670" spans="1:2">
      <c r="A670">
        <v>669</v>
      </c>
      <c r="B670" s="2">
        <v>219.8877558397399</v>
      </c>
    </row>
    <row r="671" spans="1:2">
      <c r="A671">
        <v>670</v>
      </c>
      <c r="B671" s="2">
        <v>318.33625907763019</v>
      </c>
    </row>
    <row r="672" spans="1:2">
      <c r="A672">
        <v>671</v>
      </c>
      <c r="B672" s="2">
        <v>409.93868086611297</v>
      </c>
    </row>
    <row r="673" spans="1:2">
      <c r="A673">
        <v>672</v>
      </c>
      <c r="B673" s="2">
        <v>271.94612037824686</v>
      </c>
    </row>
    <row r="674" spans="1:2">
      <c r="A674">
        <v>673</v>
      </c>
      <c r="B674" s="2">
        <v>479.40253672937331</v>
      </c>
    </row>
    <row r="675" spans="1:2">
      <c r="A675">
        <v>674</v>
      </c>
      <c r="B675" s="2">
        <v>424.11397354542021</v>
      </c>
    </row>
    <row r="676" spans="1:2">
      <c r="A676">
        <v>675</v>
      </c>
      <c r="B676" s="2">
        <v>476.60717562900635</v>
      </c>
    </row>
    <row r="677" spans="1:2">
      <c r="A677">
        <v>676</v>
      </c>
      <c r="B677" s="2">
        <v>445.8135649481481</v>
      </c>
    </row>
    <row r="678" spans="1:2">
      <c r="A678">
        <v>677</v>
      </c>
      <c r="B678" s="2">
        <v>482.69778931006169</v>
      </c>
    </row>
    <row r="679" spans="1:2">
      <c r="A679">
        <v>678</v>
      </c>
      <c r="B679" s="2">
        <v>332.9549906522895</v>
      </c>
    </row>
    <row r="680" spans="1:2">
      <c r="A680">
        <v>679</v>
      </c>
      <c r="B680" s="2">
        <v>254.02170443436324</v>
      </c>
    </row>
    <row r="681" spans="1:2">
      <c r="A681">
        <v>680</v>
      </c>
      <c r="B681" s="2">
        <v>325.07414635663741</v>
      </c>
    </row>
    <row r="682" spans="1:2">
      <c r="A682">
        <v>681</v>
      </c>
      <c r="B682" s="2">
        <v>259.22354805187535</v>
      </c>
    </row>
    <row r="683" spans="1:2">
      <c r="A683">
        <v>682</v>
      </c>
      <c r="B683" s="2">
        <v>167.92109886573985</v>
      </c>
    </row>
    <row r="684" spans="1:2">
      <c r="A684">
        <v>683</v>
      </c>
      <c r="B684" s="2">
        <v>318.60742974997061</v>
      </c>
    </row>
    <row r="685" spans="1:2">
      <c r="A685">
        <v>684</v>
      </c>
      <c r="B685" s="2">
        <v>348.28172894493554</v>
      </c>
    </row>
    <row r="686" spans="1:2">
      <c r="A686">
        <v>685</v>
      </c>
      <c r="B686" s="2">
        <v>459.22556969639572</v>
      </c>
    </row>
    <row r="687" spans="1:2">
      <c r="A687">
        <v>686</v>
      </c>
      <c r="B687" s="2">
        <v>338.31366673496956</v>
      </c>
    </row>
    <row r="688" spans="1:2">
      <c r="A688">
        <v>687</v>
      </c>
      <c r="B688" s="2">
        <v>449.73187815350366</v>
      </c>
    </row>
    <row r="689" spans="1:2">
      <c r="A689">
        <v>688</v>
      </c>
      <c r="B689" s="2">
        <v>271.81862872382396</v>
      </c>
    </row>
    <row r="690" spans="1:2">
      <c r="A690">
        <v>689</v>
      </c>
      <c r="B690" s="2">
        <v>454.97699018177269</v>
      </c>
    </row>
    <row r="691" spans="1:2">
      <c r="A691">
        <v>690</v>
      </c>
      <c r="B691" s="2">
        <v>314.71491735543316</v>
      </c>
    </row>
    <row r="692" spans="1:2">
      <c r="A692">
        <v>691</v>
      </c>
      <c r="B692" s="2">
        <v>372.17599744688584</v>
      </c>
    </row>
    <row r="693" spans="1:2">
      <c r="A693">
        <v>692</v>
      </c>
      <c r="B693" s="2">
        <v>303.2282005216631</v>
      </c>
    </row>
    <row r="694" spans="1:2">
      <c r="A694">
        <v>693</v>
      </c>
      <c r="B694" s="2">
        <v>345.20160071166652</v>
      </c>
    </row>
    <row r="695" spans="1:2">
      <c r="A695">
        <v>694</v>
      </c>
      <c r="B695" s="2">
        <v>340.75536543244357</v>
      </c>
    </row>
    <row r="696" spans="1:2">
      <c r="A696">
        <v>695</v>
      </c>
      <c r="B696" s="2">
        <v>201.14040381487666</v>
      </c>
    </row>
    <row r="697" spans="1:2">
      <c r="A697">
        <v>696</v>
      </c>
      <c r="B697" s="2">
        <v>429.24906609167317</v>
      </c>
    </row>
    <row r="698" spans="1:2">
      <c r="A698">
        <v>697</v>
      </c>
      <c r="B698" s="2">
        <v>326.97362928326447</v>
      </c>
    </row>
    <row r="699" spans="1:2">
      <c r="A699">
        <v>698</v>
      </c>
      <c r="B699" s="2">
        <v>378.30655331633585</v>
      </c>
    </row>
    <row r="700" spans="1:2">
      <c r="A700">
        <v>699</v>
      </c>
      <c r="B700" s="2">
        <v>355.45501960576098</v>
      </c>
    </row>
    <row r="701" spans="1:2">
      <c r="A701">
        <v>700</v>
      </c>
      <c r="B701" s="2">
        <v>445.44195657744422</v>
      </c>
    </row>
    <row r="702" spans="1:2">
      <c r="A702">
        <v>701</v>
      </c>
      <c r="B702" s="2">
        <v>362.83424590881998</v>
      </c>
    </row>
    <row r="703" spans="1:2">
      <c r="A703">
        <v>702</v>
      </c>
      <c r="B703" s="2">
        <v>323.14486082200318</v>
      </c>
    </row>
    <row r="704" spans="1:2">
      <c r="A704">
        <v>703</v>
      </c>
      <c r="B704" s="2">
        <v>410.40313700097545</v>
      </c>
    </row>
    <row r="705" spans="1:2">
      <c r="A705">
        <v>704</v>
      </c>
      <c r="B705" s="2">
        <v>288.63551031250353</v>
      </c>
    </row>
    <row r="706" spans="1:2">
      <c r="A706">
        <v>705</v>
      </c>
      <c r="B706" s="2">
        <v>319.97497101334216</v>
      </c>
    </row>
    <row r="707" spans="1:2">
      <c r="A707">
        <v>706</v>
      </c>
      <c r="B707" s="2">
        <v>376.21282199750294</v>
      </c>
    </row>
    <row r="708" spans="1:2">
      <c r="A708">
        <v>707</v>
      </c>
      <c r="B708" s="2">
        <v>332.69567779746518</v>
      </c>
    </row>
    <row r="709" spans="1:2">
      <c r="A709">
        <v>708</v>
      </c>
      <c r="B709" s="2">
        <v>473.92108627332311</v>
      </c>
    </row>
    <row r="710" spans="1:2">
      <c r="A710">
        <v>709</v>
      </c>
      <c r="B710" s="2">
        <v>220.85151048076924</v>
      </c>
    </row>
    <row r="711" spans="1:2">
      <c r="A711">
        <v>710</v>
      </c>
      <c r="B711" s="2">
        <v>303.32142581608377</v>
      </c>
    </row>
    <row r="712" spans="1:2">
      <c r="A712">
        <v>711</v>
      </c>
      <c r="B712" s="2">
        <v>414.37784336333158</v>
      </c>
    </row>
    <row r="713" spans="1:2">
      <c r="A713">
        <v>712</v>
      </c>
      <c r="B713" s="2">
        <v>295.54646601764011</v>
      </c>
    </row>
    <row r="714" spans="1:2">
      <c r="A714">
        <v>713</v>
      </c>
      <c r="B714" s="2">
        <v>388.96730569124452</v>
      </c>
    </row>
    <row r="715" spans="1:2">
      <c r="A715">
        <v>714</v>
      </c>
      <c r="B715" s="2">
        <v>297.12649640054599</v>
      </c>
    </row>
    <row r="716" spans="1:2">
      <c r="A716">
        <v>715</v>
      </c>
      <c r="B716" s="2">
        <v>322.05157840422004</v>
      </c>
    </row>
    <row r="717" spans="1:2">
      <c r="A717">
        <v>716</v>
      </c>
      <c r="B717" s="2">
        <v>273.86166091248901</v>
      </c>
    </row>
    <row r="718" spans="1:2">
      <c r="A718">
        <v>717</v>
      </c>
      <c r="B718" s="2">
        <v>243.91039457732626</v>
      </c>
    </row>
    <row r="719" spans="1:2">
      <c r="A719">
        <v>718</v>
      </c>
      <c r="B719" s="2">
        <v>449.94200673361149</v>
      </c>
    </row>
    <row r="720" spans="1:2">
      <c r="A720">
        <v>719</v>
      </c>
      <c r="B720" s="2">
        <v>359.34494026910068</v>
      </c>
    </row>
    <row r="721" spans="1:2">
      <c r="A721">
        <v>720</v>
      </c>
      <c r="B721" s="2">
        <v>334.76581733227351</v>
      </c>
    </row>
    <row r="722" spans="1:2">
      <c r="A722">
        <v>721</v>
      </c>
      <c r="B722" s="2">
        <v>334.00018174444494</v>
      </c>
    </row>
    <row r="723" spans="1:2">
      <c r="A723">
        <v>722</v>
      </c>
      <c r="B723" s="2">
        <v>332.48952575029961</v>
      </c>
    </row>
    <row r="724" spans="1:2">
      <c r="A724">
        <v>723</v>
      </c>
      <c r="B724" s="2">
        <v>364.75436916406176</v>
      </c>
    </row>
    <row r="725" spans="1:2">
      <c r="A725">
        <v>724</v>
      </c>
      <c r="B725" s="2">
        <v>282.91790958936991</v>
      </c>
    </row>
    <row r="726" spans="1:2">
      <c r="A726">
        <v>725</v>
      </c>
      <c r="B726" s="2">
        <v>363.31915497344227</v>
      </c>
    </row>
    <row r="727" spans="1:2">
      <c r="A727">
        <v>726</v>
      </c>
      <c r="B727" s="2">
        <v>384.93553171124336</v>
      </c>
    </row>
    <row r="728" spans="1:2">
      <c r="A728">
        <v>727</v>
      </c>
      <c r="B728" s="2">
        <v>360.14478522887157</v>
      </c>
    </row>
    <row r="729" spans="1:2">
      <c r="A729">
        <v>728</v>
      </c>
      <c r="B729" s="2">
        <v>324.42051925695182</v>
      </c>
    </row>
    <row r="730" spans="1:2">
      <c r="A730">
        <v>729</v>
      </c>
      <c r="B730" s="2">
        <v>235.91242009053144</v>
      </c>
    </row>
    <row r="731" spans="1:2">
      <c r="A731">
        <v>730</v>
      </c>
      <c r="B731" s="2">
        <v>325.6602799033555</v>
      </c>
    </row>
    <row r="732" spans="1:2">
      <c r="A732">
        <v>731</v>
      </c>
      <c r="B732" s="2">
        <v>398.42219666706194</v>
      </c>
    </row>
    <row r="733" spans="1:2">
      <c r="A733">
        <v>732</v>
      </c>
      <c r="B733" s="2">
        <v>314.68051993919482</v>
      </c>
    </row>
    <row r="734" spans="1:2">
      <c r="A734">
        <v>733</v>
      </c>
      <c r="B734" s="2">
        <v>384.65232333081696</v>
      </c>
    </row>
    <row r="735" spans="1:2">
      <c r="A735">
        <v>734</v>
      </c>
      <c r="B735" s="2">
        <v>375.65563147000574</v>
      </c>
    </row>
    <row r="736" spans="1:2">
      <c r="A736">
        <v>735</v>
      </c>
      <c r="B736" s="2">
        <v>399.38853807252372</v>
      </c>
    </row>
    <row r="737" spans="1:2">
      <c r="A737">
        <v>736</v>
      </c>
      <c r="B737" s="2">
        <v>352.15936673798058</v>
      </c>
    </row>
    <row r="738" spans="1:2">
      <c r="A738">
        <v>737</v>
      </c>
      <c r="B738" s="2">
        <v>342.77129821536403</v>
      </c>
    </row>
    <row r="739" spans="1:2">
      <c r="A739">
        <v>738</v>
      </c>
      <c r="B739" s="2">
        <v>377.8656977873876</v>
      </c>
    </row>
    <row r="740" spans="1:2">
      <c r="A740">
        <v>739</v>
      </c>
      <c r="B740" s="2">
        <v>350.60600438584083</v>
      </c>
    </row>
    <row r="741" spans="1:2">
      <c r="A741">
        <v>740</v>
      </c>
      <c r="B741" s="2">
        <v>332.8966776163798</v>
      </c>
    </row>
    <row r="742" spans="1:2">
      <c r="A742">
        <v>741</v>
      </c>
      <c r="B742" s="2">
        <v>319.07132942102612</v>
      </c>
    </row>
    <row r="743" spans="1:2">
      <c r="A743">
        <v>742</v>
      </c>
      <c r="B743" s="2">
        <v>479.25378875144781</v>
      </c>
    </row>
    <row r="744" spans="1:2">
      <c r="A744">
        <v>743</v>
      </c>
      <c r="B744" s="2">
        <v>329.68633879564578</v>
      </c>
    </row>
    <row r="745" spans="1:2">
      <c r="A745">
        <v>744</v>
      </c>
      <c r="B745" s="2">
        <v>430.96393355099315</v>
      </c>
    </row>
    <row r="746" spans="1:2">
      <c r="A746">
        <v>745</v>
      </c>
      <c r="B746" s="2">
        <v>299.94346311635462</v>
      </c>
    </row>
    <row r="747" spans="1:2">
      <c r="A747">
        <v>746</v>
      </c>
      <c r="B747" s="2">
        <v>283.14191746776339</v>
      </c>
    </row>
    <row r="748" spans="1:2">
      <c r="A748">
        <v>747</v>
      </c>
      <c r="B748" s="2">
        <v>289.4092176556278</v>
      </c>
    </row>
    <row r="749" spans="1:2">
      <c r="A749">
        <v>748</v>
      </c>
      <c r="B749" s="2">
        <v>297.39444404855112</v>
      </c>
    </row>
    <row r="750" spans="1:2">
      <c r="A750">
        <v>749</v>
      </c>
      <c r="B750" s="2">
        <v>453.86370405109301</v>
      </c>
    </row>
    <row r="751" spans="1:2">
      <c r="A751">
        <v>750</v>
      </c>
      <c r="B751" s="2">
        <v>434.69800238975313</v>
      </c>
    </row>
    <row r="752" spans="1:2">
      <c r="A752">
        <v>751</v>
      </c>
      <c r="B752" s="2">
        <v>265.7060344729735</v>
      </c>
    </row>
    <row r="753" spans="1:2">
      <c r="A753">
        <v>752</v>
      </c>
      <c r="B753" s="2">
        <v>430.82521136991215</v>
      </c>
    </row>
    <row r="754" spans="1:2">
      <c r="A754">
        <v>753</v>
      </c>
      <c r="B754" s="2">
        <v>428.33478259256498</v>
      </c>
    </row>
    <row r="755" spans="1:2">
      <c r="A755">
        <v>754</v>
      </c>
      <c r="B755" s="2">
        <v>428.63972969110108</v>
      </c>
    </row>
    <row r="756" spans="1:2">
      <c r="A756">
        <v>755</v>
      </c>
      <c r="B756" s="2">
        <v>208.01357768177928</v>
      </c>
    </row>
    <row r="757" spans="1:2">
      <c r="A757">
        <v>756</v>
      </c>
      <c r="B757" s="2">
        <v>316.49597446078837</v>
      </c>
    </row>
    <row r="758" spans="1:2">
      <c r="A758">
        <v>757</v>
      </c>
      <c r="B758" s="2">
        <v>304.50133919604076</v>
      </c>
    </row>
    <row r="759" spans="1:2">
      <c r="A759">
        <v>758</v>
      </c>
      <c r="B759" s="2">
        <v>390.98360892490393</v>
      </c>
    </row>
    <row r="760" spans="1:2">
      <c r="A760">
        <v>759</v>
      </c>
      <c r="B760" s="2">
        <v>407.6544339860003</v>
      </c>
    </row>
    <row r="761" spans="1:2">
      <c r="A761">
        <v>760</v>
      </c>
      <c r="B761" s="2">
        <v>393.62644892515993</v>
      </c>
    </row>
    <row r="762" spans="1:2">
      <c r="A762">
        <v>761</v>
      </c>
      <c r="B762" s="2">
        <v>200.80006985161828</v>
      </c>
    </row>
    <row r="763" spans="1:2">
      <c r="A763">
        <v>762</v>
      </c>
      <c r="B763" s="2">
        <v>370.77436199504103</v>
      </c>
    </row>
    <row r="764" spans="1:2">
      <c r="A764">
        <v>763</v>
      </c>
      <c r="B764" s="2">
        <v>367.69561218712352</v>
      </c>
    </row>
    <row r="765" spans="1:2">
      <c r="A765">
        <v>764</v>
      </c>
      <c r="B765" s="2">
        <v>214.85244816341614</v>
      </c>
    </row>
    <row r="766" spans="1:2">
      <c r="A766">
        <v>765</v>
      </c>
      <c r="B766" s="2">
        <v>469.00140313609074</v>
      </c>
    </row>
    <row r="767" spans="1:2">
      <c r="A767">
        <v>766</v>
      </c>
      <c r="B767" s="2">
        <v>277.22023643639284</v>
      </c>
    </row>
    <row r="768" spans="1:2">
      <c r="A768">
        <v>767</v>
      </c>
      <c r="B768" s="2">
        <v>197.76009891903101</v>
      </c>
    </row>
    <row r="769" spans="1:2">
      <c r="A769">
        <v>768</v>
      </c>
      <c r="B769" s="2">
        <v>269.93475010864097</v>
      </c>
    </row>
    <row r="770" spans="1:2">
      <c r="A770">
        <v>769</v>
      </c>
      <c r="B770" s="2">
        <v>491.10458297657567</v>
      </c>
    </row>
    <row r="771" spans="1:2">
      <c r="A771">
        <v>770</v>
      </c>
      <c r="B771" s="2">
        <v>284.91162687102212</v>
      </c>
    </row>
    <row r="772" spans="1:2">
      <c r="A772">
        <v>771</v>
      </c>
      <c r="B772" s="2">
        <v>362.26268018390692</v>
      </c>
    </row>
    <row r="773" spans="1:2">
      <c r="A773">
        <v>772</v>
      </c>
      <c r="B773" s="2">
        <v>325.90586291912075</v>
      </c>
    </row>
    <row r="774" spans="1:2">
      <c r="A774">
        <v>773</v>
      </c>
      <c r="B774" s="2">
        <v>421.0314763751785</v>
      </c>
    </row>
    <row r="775" spans="1:2">
      <c r="A775">
        <v>774</v>
      </c>
      <c r="B775" s="2">
        <v>376.18500297711631</v>
      </c>
    </row>
    <row r="776" spans="1:2">
      <c r="A776">
        <v>775</v>
      </c>
      <c r="B776" s="2">
        <v>209.79332917525514</v>
      </c>
    </row>
    <row r="777" spans="1:2">
      <c r="A777">
        <v>776</v>
      </c>
      <c r="B777" s="2">
        <v>362.07538555595374</v>
      </c>
    </row>
    <row r="778" spans="1:2">
      <c r="A778">
        <v>777</v>
      </c>
      <c r="B778" s="2">
        <v>363.30531551507488</v>
      </c>
    </row>
    <row r="779" spans="1:2">
      <c r="A779">
        <v>778</v>
      </c>
      <c r="B779" s="2">
        <v>339.85962902094377</v>
      </c>
    </row>
    <row r="780" spans="1:2">
      <c r="A780">
        <v>779</v>
      </c>
      <c r="B780" s="2">
        <v>233.96313312917826</v>
      </c>
    </row>
    <row r="781" spans="1:2">
      <c r="A781">
        <v>780</v>
      </c>
      <c r="B781" s="2">
        <v>416.77458299986517</v>
      </c>
    </row>
    <row r="782" spans="1:2">
      <c r="A782">
        <v>781</v>
      </c>
      <c r="B782" s="2">
        <v>312.78512578927428</v>
      </c>
    </row>
    <row r="783" spans="1:2">
      <c r="A783">
        <v>782</v>
      </c>
      <c r="B783" s="2">
        <v>362.29331737261288</v>
      </c>
    </row>
    <row r="784" spans="1:2">
      <c r="A784">
        <v>783</v>
      </c>
      <c r="B784" s="2">
        <v>345.34842714864277</v>
      </c>
    </row>
    <row r="785" spans="1:2">
      <c r="A785">
        <v>784</v>
      </c>
      <c r="B785" s="2">
        <v>409.32499120571839</v>
      </c>
    </row>
    <row r="786" spans="1:2">
      <c r="A786">
        <v>785</v>
      </c>
      <c r="B786" s="2">
        <v>258.71776119307378</v>
      </c>
    </row>
    <row r="787" spans="1:2">
      <c r="A787">
        <v>786</v>
      </c>
      <c r="B787" s="2">
        <v>348.46686416625914</v>
      </c>
    </row>
    <row r="788" spans="1:2">
      <c r="A788">
        <v>787</v>
      </c>
      <c r="B788" s="2">
        <v>377.90586619516409</v>
      </c>
    </row>
    <row r="789" spans="1:2">
      <c r="A789">
        <v>788</v>
      </c>
      <c r="B789" s="2">
        <v>311.44142924585816</v>
      </c>
    </row>
    <row r="790" spans="1:2">
      <c r="A790">
        <v>789</v>
      </c>
      <c r="B790" s="2">
        <v>297.30901505252723</v>
      </c>
    </row>
    <row r="791" spans="1:2">
      <c r="A791">
        <v>790</v>
      </c>
      <c r="B791" s="2">
        <v>347.33605165879396</v>
      </c>
    </row>
    <row r="792" spans="1:2">
      <c r="A792">
        <v>791</v>
      </c>
      <c r="B792" s="2">
        <v>447.8961561197151</v>
      </c>
    </row>
    <row r="793" spans="1:2">
      <c r="A793">
        <v>792</v>
      </c>
      <c r="B793" s="2">
        <v>243.0666733307979</v>
      </c>
    </row>
    <row r="794" spans="1:2">
      <c r="A794">
        <v>793</v>
      </c>
      <c r="B794" s="2">
        <v>424.83696130850319</v>
      </c>
    </row>
    <row r="795" spans="1:2">
      <c r="A795">
        <v>794</v>
      </c>
      <c r="B795" s="2">
        <v>418.33453115911061</v>
      </c>
    </row>
    <row r="796" spans="1:2">
      <c r="A796">
        <v>795</v>
      </c>
      <c r="B796" s="2">
        <v>235.21448404851003</v>
      </c>
    </row>
    <row r="797" spans="1:2">
      <c r="A797">
        <v>796</v>
      </c>
      <c r="B797" s="2">
        <v>398.60521238922644</v>
      </c>
    </row>
    <row r="798" spans="1:2">
      <c r="A798">
        <v>797</v>
      </c>
      <c r="B798" s="2">
        <v>315.89521017795829</v>
      </c>
    </row>
    <row r="799" spans="1:2">
      <c r="A799">
        <v>798</v>
      </c>
      <c r="B799" s="2">
        <v>340.51165148083589</v>
      </c>
    </row>
    <row r="800" spans="1:2">
      <c r="A800">
        <v>799</v>
      </c>
      <c r="B800" s="2">
        <v>298.45853878835999</v>
      </c>
    </row>
    <row r="801" spans="1:2">
      <c r="A801">
        <v>800</v>
      </c>
      <c r="B801" s="2">
        <v>380.7240804829176</v>
      </c>
    </row>
    <row r="802" spans="1:2">
      <c r="A802">
        <v>801</v>
      </c>
      <c r="B802" s="2">
        <v>438.41591069595324</v>
      </c>
    </row>
    <row r="803" spans="1:2">
      <c r="A803">
        <v>802</v>
      </c>
      <c r="B803" s="2">
        <v>310.09713794851825</v>
      </c>
    </row>
    <row r="804" spans="1:2">
      <c r="A804">
        <v>803</v>
      </c>
      <c r="B804" s="2">
        <v>311.67485681519008</v>
      </c>
    </row>
    <row r="805" spans="1:2">
      <c r="A805">
        <v>804</v>
      </c>
      <c r="B805" s="2">
        <v>164.49699322198256</v>
      </c>
    </row>
    <row r="806" spans="1:2">
      <c r="A806">
        <v>805</v>
      </c>
      <c r="B806" s="2">
        <v>350.11457951100431</v>
      </c>
    </row>
    <row r="807" spans="1:2">
      <c r="A807">
        <v>806</v>
      </c>
      <c r="B807" s="2">
        <v>226.56954621056261</v>
      </c>
    </row>
    <row r="808" spans="1:2">
      <c r="A808">
        <v>807</v>
      </c>
      <c r="B808" s="2">
        <v>288.25743767234337</v>
      </c>
    </row>
    <row r="809" spans="1:2">
      <c r="A809">
        <v>808</v>
      </c>
      <c r="B809" s="2">
        <v>409.73297877142727</v>
      </c>
    </row>
    <row r="810" spans="1:2">
      <c r="A810">
        <v>809</v>
      </c>
      <c r="B810" s="2">
        <v>317.69942202235507</v>
      </c>
    </row>
    <row r="811" spans="1:2">
      <c r="A811">
        <v>810</v>
      </c>
      <c r="B811" s="2">
        <v>194.69954357255301</v>
      </c>
    </row>
    <row r="812" spans="1:2">
      <c r="A812">
        <v>811</v>
      </c>
      <c r="B812" s="2">
        <v>319.78184517541087</v>
      </c>
    </row>
    <row r="813" spans="1:2">
      <c r="A813">
        <v>812</v>
      </c>
      <c r="B813" s="2">
        <v>360.48197438063539</v>
      </c>
    </row>
    <row r="814" spans="1:2">
      <c r="A814">
        <v>813</v>
      </c>
      <c r="B814" s="2">
        <v>367.91526096627598</v>
      </c>
    </row>
    <row r="815" spans="1:2">
      <c r="A815">
        <v>814</v>
      </c>
      <c r="B815" s="2">
        <v>246.09838149323761</v>
      </c>
    </row>
    <row r="816" spans="1:2">
      <c r="A816">
        <v>815</v>
      </c>
      <c r="B816" s="2">
        <v>453.29716590902206</v>
      </c>
    </row>
    <row r="817" spans="1:2">
      <c r="A817">
        <v>816</v>
      </c>
      <c r="B817" s="2">
        <v>421.14806593523247</v>
      </c>
    </row>
    <row r="818" spans="1:2">
      <c r="A818">
        <v>817</v>
      </c>
      <c r="B818" s="2">
        <v>337.17067620372706</v>
      </c>
    </row>
    <row r="819" spans="1:2">
      <c r="A819">
        <v>818</v>
      </c>
      <c r="B819" s="2">
        <v>229.8147775057929</v>
      </c>
    </row>
    <row r="820" spans="1:2">
      <c r="A820">
        <v>819</v>
      </c>
      <c r="B820" s="2">
        <v>379.57125807508811</v>
      </c>
    </row>
    <row r="821" spans="1:2">
      <c r="A821">
        <v>820</v>
      </c>
      <c r="B821" s="2">
        <v>398.85949009586432</v>
      </c>
    </row>
    <row r="822" spans="1:2">
      <c r="A822">
        <v>821</v>
      </c>
      <c r="B822" s="2">
        <v>383.25459343704097</v>
      </c>
    </row>
    <row r="823" spans="1:2">
      <c r="A823">
        <v>822</v>
      </c>
      <c r="B823" s="2">
        <v>506.22386820380859</v>
      </c>
    </row>
    <row r="824" spans="1:2">
      <c r="A824">
        <v>823</v>
      </c>
      <c r="B824" s="2">
        <v>354.47750976832072</v>
      </c>
    </row>
    <row r="825" spans="1:2">
      <c r="A825">
        <v>824</v>
      </c>
      <c r="B825" s="2">
        <v>226.94093688549475</v>
      </c>
    </row>
    <row r="826" spans="1:2">
      <c r="A826">
        <v>825</v>
      </c>
      <c r="B826" s="2">
        <v>364.63778142986268</v>
      </c>
    </row>
    <row r="827" spans="1:2">
      <c r="A827">
        <v>826</v>
      </c>
      <c r="B827" s="2">
        <v>294.66872516458454</v>
      </c>
    </row>
    <row r="828" spans="1:2">
      <c r="A828">
        <v>827</v>
      </c>
      <c r="B828" s="2">
        <v>402.94607173005772</v>
      </c>
    </row>
    <row r="829" spans="1:2">
      <c r="A829">
        <v>828</v>
      </c>
      <c r="B829" s="2">
        <v>297.69641004363427</v>
      </c>
    </row>
    <row r="830" spans="1:2">
      <c r="A830">
        <v>829</v>
      </c>
      <c r="B830" s="2">
        <v>420.6289956792948</v>
      </c>
    </row>
    <row r="831" spans="1:2">
      <c r="A831">
        <v>830</v>
      </c>
      <c r="B831" s="2">
        <v>326.66541398948561</v>
      </c>
    </row>
    <row r="832" spans="1:2">
      <c r="A832">
        <v>831</v>
      </c>
      <c r="B832" s="2">
        <v>368.50019018306057</v>
      </c>
    </row>
    <row r="833" spans="1:2">
      <c r="A833">
        <v>832</v>
      </c>
      <c r="B833" s="2">
        <v>250.35229193641655</v>
      </c>
    </row>
    <row r="834" spans="1:2">
      <c r="A834">
        <v>833</v>
      </c>
      <c r="B834" s="2">
        <v>255.62187903867641</v>
      </c>
    </row>
    <row r="835" spans="1:2">
      <c r="A835">
        <v>834</v>
      </c>
      <c r="B835" s="2">
        <v>362.69794681781821</v>
      </c>
    </row>
    <row r="836" spans="1:2">
      <c r="A836">
        <v>835</v>
      </c>
      <c r="B836" s="2">
        <v>359.38775675095206</v>
      </c>
    </row>
    <row r="837" spans="1:2">
      <c r="A837">
        <v>836</v>
      </c>
      <c r="B837" s="2">
        <v>392.26487544930944</v>
      </c>
    </row>
    <row r="838" spans="1:2">
      <c r="A838">
        <v>837</v>
      </c>
      <c r="B838" s="2">
        <v>442.46611934539999</v>
      </c>
    </row>
    <row r="839" spans="1:2">
      <c r="A839">
        <v>838</v>
      </c>
      <c r="B839" s="2">
        <v>383.49725220607763</v>
      </c>
    </row>
    <row r="840" spans="1:2">
      <c r="A840">
        <v>839</v>
      </c>
      <c r="B840" s="2">
        <v>321.4918669274175</v>
      </c>
    </row>
    <row r="841" spans="1:2">
      <c r="A841">
        <v>840</v>
      </c>
      <c r="B841" s="2">
        <v>351.23198155751044</v>
      </c>
    </row>
    <row r="842" spans="1:2">
      <c r="A842">
        <v>841</v>
      </c>
      <c r="B842" s="2">
        <v>233.11123200122475</v>
      </c>
    </row>
    <row r="843" spans="1:2">
      <c r="A843">
        <v>842</v>
      </c>
      <c r="B843" s="2">
        <v>312.59268203910966</v>
      </c>
    </row>
    <row r="844" spans="1:2">
      <c r="A844">
        <v>843</v>
      </c>
      <c r="B844" s="2">
        <v>427.29816974752083</v>
      </c>
    </row>
    <row r="845" spans="1:2">
      <c r="A845">
        <v>844</v>
      </c>
      <c r="B845" s="2">
        <v>453.77510752160867</v>
      </c>
    </row>
    <row r="846" spans="1:2">
      <c r="A846">
        <v>845</v>
      </c>
      <c r="B846" s="2">
        <v>263.83522009007777</v>
      </c>
    </row>
    <row r="847" spans="1:2">
      <c r="A847">
        <v>846</v>
      </c>
      <c r="B847" s="2">
        <v>463.36341523541751</v>
      </c>
    </row>
    <row r="848" spans="1:2">
      <c r="A848">
        <v>847</v>
      </c>
      <c r="B848" s="2">
        <v>407.98653869519677</v>
      </c>
    </row>
    <row r="849" spans="1:2">
      <c r="A849">
        <v>848</v>
      </c>
      <c r="B849" s="2">
        <v>260.21454741218167</v>
      </c>
    </row>
    <row r="850" spans="1:2">
      <c r="A850">
        <v>849</v>
      </c>
      <c r="B850" s="2">
        <v>263.39762958001387</v>
      </c>
    </row>
    <row r="851" spans="1:2">
      <c r="A851">
        <v>850</v>
      </c>
      <c r="B851" s="2">
        <v>314.9686046432272</v>
      </c>
    </row>
    <row r="852" spans="1:2">
      <c r="A852">
        <v>851</v>
      </c>
      <c r="B852" s="2">
        <v>315.15876904078544</v>
      </c>
    </row>
    <row r="853" spans="1:2">
      <c r="A853">
        <v>852</v>
      </c>
      <c r="B853" s="2">
        <v>635.10864088914582</v>
      </c>
    </row>
    <row r="854" spans="1:2">
      <c r="A854">
        <v>853</v>
      </c>
      <c r="B854" s="2">
        <v>442.84381469544024</v>
      </c>
    </row>
    <row r="855" spans="1:2">
      <c r="A855">
        <v>854</v>
      </c>
      <c r="B855" s="2">
        <v>227.9073471021897</v>
      </c>
    </row>
    <row r="856" spans="1:2">
      <c r="A856">
        <v>855</v>
      </c>
      <c r="B856" s="2">
        <v>391.72327490635024</v>
      </c>
    </row>
    <row r="857" spans="1:2">
      <c r="A857">
        <v>856</v>
      </c>
      <c r="B857" s="2">
        <v>391.08249002215121</v>
      </c>
    </row>
    <row r="858" spans="1:2">
      <c r="A858">
        <v>857</v>
      </c>
      <c r="B858" s="2">
        <v>465.2385479458186</v>
      </c>
    </row>
    <row r="859" spans="1:2">
      <c r="A859">
        <v>858</v>
      </c>
      <c r="B859" s="2">
        <v>410.97064174196851</v>
      </c>
    </row>
    <row r="860" spans="1:2">
      <c r="A860">
        <v>859</v>
      </c>
      <c r="B860" s="2">
        <v>376.2401076078508</v>
      </c>
    </row>
    <row r="861" spans="1:2">
      <c r="A861">
        <v>860</v>
      </c>
      <c r="B861" s="2">
        <v>443.5945624485455</v>
      </c>
    </row>
    <row r="862" spans="1:2">
      <c r="A862">
        <v>861</v>
      </c>
      <c r="B862" s="2">
        <v>320.84550703566106</v>
      </c>
    </row>
    <row r="863" spans="1:2">
      <c r="A863">
        <v>862</v>
      </c>
      <c r="B863" s="2">
        <v>330.19064363802306</v>
      </c>
    </row>
    <row r="864" spans="1:2">
      <c r="A864">
        <v>863</v>
      </c>
      <c r="B864" s="2">
        <v>483.259667527624</v>
      </c>
    </row>
    <row r="865" spans="1:2">
      <c r="A865">
        <v>864</v>
      </c>
      <c r="B865" s="2">
        <v>404.36909270697578</v>
      </c>
    </row>
    <row r="866" spans="1:2">
      <c r="A866">
        <v>865</v>
      </c>
      <c r="B866" s="2">
        <v>355.62380479348752</v>
      </c>
    </row>
    <row r="867" spans="1:2">
      <c r="A867">
        <v>866</v>
      </c>
      <c r="B867" s="2">
        <v>300.21244565841084</v>
      </c>
    </row>
    <row r="868" spans="1:2">
      <c r="A868">
        <v>867</v>
      </c>
      <c r="B868" s="2">
        <v>281.09069750465329</v>
      </c>
    </row>
    <row r="869" spans="1:2">
      <c r="A869">
        <v>868</v>
      </c>
      <c r="B869" s="2">
        <v>406.9014432540236</v>
      </c>
    </row>
    <row r="870" spans="1:2">
      <c r="A870">
        <v>869</v>
      </c>
      <c r="B870" s="2">
        <v>401.49784929717282</v>
      </c>
    </row>
    <row r="871" spans="1:2">
      <c r="A871">
        <v>870</v>
      </c>
      <c r="B871" s="2">
        <v>381.61092641382106</v>
      </c>
    </row>
    <row r="872" spans="1:2">
      <c r="A872">
        <v>871</v>
      </c>
      <c r="B872" s="2">
        <v>172.13223141217307</v>
      </c>
    </row>
    <row r="873" spans="1:2">
      <c r="A873">
        <v>872</v>
      </c>
      <c r="B873" s="2">
        <v>418.72590368094438</v>
      </c>
    </row>
    <row r="874" spans="1:2">
      <c r="A874">
        <v>873</v>
      </c>
      <c r="B874" s="2">
        <v>447.4302746684557</v>
      </c>
    </row>
    <row r="875" spans="1:2">
      <c r="A875">
        <v>874</v>
      </c>
      <c r="B875" s="2">
        <v>356.74581834333486</v>
      </c>
    </row>
    <row r="876" spans="1:2">
      <c r="A876">
        <v>875</v>
      </c>
      <c r="B876" s="2">
        <v>252.29519904565458</v>
      </c>
    </row>
    <row r="877" spans="1:2">
      <c r="A877">
        <v>876</v>
      </c>
      <c r="B877" s="2">
        <v>276.94422809095789</v>
      </c>
    </row>
    <row r="878" spans="1:2">
      <c r="A878">
        <v>877</v>
      </c>
      <c r="B878" s="2">
        <v>324.460467702122</v>
      </c>
    </row>
    <row r="879" spans="1:2">
      <c r="A879">
        <v>878</v>
      </c>
      <c r="B879" s="2">
        <v>287.51593415450571</v>
      </c>
    </row>
    <row r="880" spans="1:2">
      <c r="A880">
        <v>879</v>
      </c>
      <c r="B880" s="2">
        <v>373.99885738983215</v>
      </c>
    </row>
    <row r="881" spans="1:2">
      <c r="A881">
        <v>880</v>
      </c>
      <c r="B881" s="2">
        <v>389.41578833104171</v>
      </c>
    </row>
    <row r="882" spans="1:2">
      <c r="A882">
        <v>881</v>
      </c>
      <c r="B882" s="2">
        <v>299.70380688046322</v>
      </c>
    </row>
    <row r="883" spans="1:2">
      <c r="A883">
        <v>882</v>
      </c>
      <c r="B883" s="2">
        <v>381.70444444504909</v>
      </c>
    </row>
    <row r="884" spans="1:2">
      <c r="A884">
        <v>883</v>
      </c>
      <c r="B884" s="2">
        <v>309.52358159363257</v>
      </c>
    </row>
    <row r="885" spans="1:2">
      <c r="A885">
        <v>884</v>
      </c>
      <c r="B885" s="2">
        <v>268.17229835527934</v>
      </c>
    </row>
    <row r="886" spans="1:2">
      <c r="A886">
        <v>885</v>
      </c>
      <c r="B886" s="2">
        <v>452.91225093855098</v>
      </c>
    </row>
    <row r="887" spans="1:2">
      <c r="A887">
        <v>886</v>
      </c>
      <c r="B887" s="2">
        <v>291.50326097527955</v>
      </c>
    </row>
    <row r="888" spans="1:2">
      <c r="A888">
        <v>887</v>
      </c>
      <c r="B888" s="2">
        <v>440.67914932050496</v>
      </c>
    </row>
    <row r="889" spans="1:2">
      <c r="A889">
        <v>888</v>
      </c>
      <c r="B889" s="2">
        <v>458.65091249722082</v>
      </c>
    </row>
    <row r="890" spans="1:2">
      <c r="A890">
        <v>889</v>
      </c>
      <c r="B890" s="2">
        <v>230.50811392232191</v>
      </c>
    </row>
    <row r="891" spans="1:2">
      <c r="A891">
        <v>890</v>
      </c>
      <c r="B891" s="2">
        <v>449.13849135339666</v>
      </c>
    </row>
    <row r="892" spans="1:2">
      <c r="A892">
        <v>891</v>
      </c>
      <c r="B892" s="2">
        <v>446.92281595494751</v>
      </c>
    </row>
    <row r="893" spans="1:2">
      <c r="A893">
        <v>892</v>
      </c>
      <c r="B893" s="2">
        <v>262.95588905920852</v>
      </c>
    </row>
    <row r="894" spans="1:2">
      <c r="A894">
        <v>893</v>
      </c>
      <c r="B894" s="2">
        <v>446.84925917379888</v>
      </c>
    </row>
    <row r="895" spans="1:2">
      <c r="A895">
        <v>894</v>
      </c>
      <c r="B895" s="2">
        <v>364.63364045508376</v>
      </c>
    </row>
    <row r="896" spans="1:2">
      <c r="A896">
        <v>895</v>
      </c>
      <c r="B896" s="2">
        <v>285.4358027809854</v>
      </c>
    </row>
    <row r="897" spans="1:2">
      <c r="A897">
        <v>896</v>
      </c>
      <c r="B897" s="2">
        <v>433.5420785676514</v>
      </c>
    </row>
    <row r="898" spans="1:2">
      <c r="A898">
        <v>897</v>
      </c>
      <c r="B898" s="2">
        <v>291.65917412603261</v>
      </c>
    </row>
    <row r="899" spans="1:2">
      <c r="A899">
        <v>898</v>
      </c>
      <c r="B899" s="2">
        <v>410.95751927240684</v>
      </c>
    </row>
    <row r="900" spans="1:2">
      <c r="A900">
        <v>899</v>
      </c>
      <c r="B900" s="2">
        <v>352.68601504406035</v>
      </c>
    </row>
    <row r="901" spans="1:2">
      <c r="A901">
        <v>900</v>
      </c>
      <c r="B901" s="2">
        <v>302.58847628538268</v>
      </c>
    </row>
    <row r="902" spans="1:2">
      <c r="A902">
        <v>901</v>
      </c>
      <c r="B902" s="2">
        <v>431.71114779809108</v>
      </c>
    </row>
    <row r="903" spans="1:2">
      <c r="A903">
        <v>902</v>
      </c>
      <c r="B903" s="2">
        <v>387.67577372443105</v>
      </c>
    </row>
    <row r="904" spans="1:2">
      <c r="A904">
        <v>903</v>
      </c>
      <c r="B904" s="2">
        <v>263.06218776404086</v>
      </c>
    </row>
    <row r="905" spans="1:2">
      <c r="A905">
        <v>904</v>
      </c>
      <c r="B905" s="2">
        <v>267.45597934389787</v>
      </c>
    </row>
    <row r="906" spans="1:2">
      <c r="A906">
        <v>905</v>
      </c>
      <c r="B906" s="2">
        <v>262.78026281654707</v>
      </c>
    </row>
    <row r="907" spans="1:2">
      <c r="A907">
        <v>906</v>
      </c>
      <c r="B907" s="2">
        <v>369.92065670353406</v>
      </c>
    </row>
    <row r="908" spans="1:2">
      <c r="A908">
        <v>907</v>
      </c>
      <c r="B908" s="2">
        <v>298.83158857871899</v>
      </c>
    </row>
    <row r="909" spans="1:2">
      <c r="A909">
        <v>908</v>
      </c>
      <c r="B909" s="2">
        <v>473.52172500069423</v>
      </c>
    </row>
    <row r="910" spans="1:2">
      <c r="A910">
        <v>909</v>
      </c>
      <c r="B910" s="2">
        <v>357.55683791222066</v>
      </c>
    </row>
    <row r="911" spans="1:2">
      <c r="A911">
        <v>910</v>
      </c>
      <c r="B911" s="2">
        <v>264.2355193121341</v>
      </c>
    </row>
    <row r="912" spans="1:2">
      <c r="A912">
        <v>911</v>
      </c>
      <c r="B912" s="2">
        <v>217.8666721971494</v>
      </c>
    </row>
    <row r="913" spans="1:2">
      <c r="A913">
        <v>912</v>
      </c>
      <c r="B913" s="2">
        <v>343.50235350984849</v>
      </c>
    </row>
    <row r="914" spans="1:2">
      <c r="A914">
        <v>913</v>
      </c>
      <c r="B914" s="2">
        <v>358.77873024124375</v>
      </c>
    </row>
    <row r="915" spans="1:2">
      <c r="A915">
        <v>914</v>
      </c>
      <c r="B915" s="2">
        <v>269.99010344172291</v>
      </c>
    </row>
    <row r="916" spans="1:2">
      <c r="A916">
        <v>915</v>
      </c>
      <c r="B916" s="2">
        <v>382.95851436062162</v>
      </c>
    </row>
    <row r="917" spans="1:2">
      <c r="A917">
        <v>916</v>
      </c>
      <c r="B917" s="2">
        <v>358.64840415543972</v>
      </c>
    </row>
    <row r="918" spans="1:2">
      <c r="A918">
        <v>917</v>
      </c>
      <c r="B918" s="2">
        <v>463.54186025152802</v>
      </c>
    </row>
    <row r="919" spans="1:2">
      <c r="A919">
        <v>918</v>
      </c>
      <c r="B919" s="2">
        <v>337.84145289691116</v>
      </c>
    </row>
    <row r="920" spans="1:2">
      <c r="A920">
        <v>919</v>
      </c>
      <c r="B920" s="2">
        <v>429.68373624687376</v>
      </c>
    </row>
    <row r="921" spans="1:2">
      <c r="A921">
        <v>920</v>
      </c>
      <c r="B921" s="2">
        <v>84.306456278514375</v>
      </c>
    </row>
    <row r="922" spans="1:2">
      <c r="A922">
        <v>921</v>
      </c>
      <c r="B922" s="2">
        <v>277.63582546629414</v>
      </c>
    </row>
    <row r="923" spans="1:2">
      <c r="A923">
        <v>922</v>
      </c>
      <c r="B923" s="2">
        <v>283.88447117968531</v>
      </c>
    </row>
    <row r="924" spans="1:2">
      <c r="A924">
        <v>923</v>
      </c>
      <c r="B924" s="2">
        <v>240.76333144270879</v>
      </c>
    </row>
    <row r="925" spans="1:2">
      <c r="A925">
        <v>924</v>
      </c>
      <c r="B925" s="2">
        <v>216.89038887660882</v>
      </c>
    </row>
    <row r="926" spans="1:2">
      <c r="A926">
        <v>925</v>
      </c>
      <c r="B926" s="2">
        <v>404.529886137939</v>
      </c>
    </row>
    <row r="927" spans="1:2">
      <c r="A927">
        <v>926</v>
      </c>
      <c r="B927" s="2">
        <v>324.72597106149823</v>
      </c>
    </row>
    <row r="928" spans="1:2">
      <c r="A928">
        <v>927</v>
      </c>
      <c r="B928" s="2">
        <v>319.01466157902536</v>
      </c>
    </row>
    <row r="929" spans="1:2">
      <c r="A929">
        <v>928</v>
      </c>
      <c r="B929" s="2">
        <v>305.28810534922479</v>
      </c>
    </row>
    <row r="930" spans="1:2">
      <c r="A930">
        <v>929</v>
      </c>
      <c r="B930" s="2">
        <v>372.31934067961413</v>
      </c>
    </row>
    <row r="931" spans="1:2">
      <c r="A931">
        <v>930</v>
      </c>
      <c r="B931" s="2">
        <v>381.23356693855055</v>
      </c>
    </row>
    <row r="932" spans="1:2">
      <c r="A932">
        <v>931</v>
      </c>
      <c r="B932" s="2">
        <v>409.94437194398438</v>
      </c>
    </row>
    <row r="933" spans="1:2">
      <c r="A933">
        <v>932</v>
      </c>
      <c r="B933" s="2">
        <v>372.75576660848753</v>
      </c>
    </row>
    <row r="934" spans="1:2">
      <c r="A934">
        <v>933</v>
      </c>
      <c r="B934" s="2">
        <v>464.79646499973853</v>
      </c>
    </row>
    <row r="935" spans="1:2">
      <c r="A935">
        <v>934</v>
      </c>
      <c r="B935" s="2">
        <v>387.07316247574687</v>
      </c>
    </row>
    <row r="936" spans="1:2">
      <c r="A936">
        <v>935</v>
      </c>
      <c r="B936" s="2">
        <v>353.88588172553335</v>
      </c>
    </row>
    <row r="937" spans="1:2">
      <c r="A937">
        <v>936</v>
      </c>
      <c r="B937" s="2">
        <v>393.09076886988612</v>
      </c>
    </row>
    <row r="938" spans="1:2">
      <c r="A938">
        <v>937</v>
      </c>
      <c r="B938" s="2">
        <v>327.31945259107999</v>
      </c>
    </row>
    <row r="939" spans="1:2">
      <c r="A939">
        <v>938</v>
      </c>
      <c r="B939" s="2">
        <v>316.93986590387522</v>
      </c>
    </row>
    <row r="940" spans="1:2">
      <c r="A940">
        <v>939</v>
      </c>
      <c r="B940" s="2">
        <v>248.51018823398812</v>
      </c>
    </row>
    <row r="941" spans="1:2">
      <c r="A941">
        <v>940</v>
      </c>
      <c r="B941" s="2">
        <v>498.12645438322897</v>
      </c>
    </row>
    <row r="942" spans="1:2">
      <c r="A942">
        <v>941</v>
      </c>
      <c r="B942" s="2">
        <v>480.459940039804</v>
      </c>
    </row>
    <row r="943" spans="1:2">
      <c r="A943">
        <v>942</v>
      </c>
      <c r="B943" s="2">
        <v>280.23694005542336</v>
      </c>
    </row>
    <row r="944" spans="1:2">
      <c r="A944">
        <v>943</v>
      </c>
      <c r="B944" s="2">
        <v>334.22391445997556</v>
      </c>
    </row>
    <row r="945" spans="1:2">
      <c r="A945">
        <v>944</v>
      </c>
      <c r="B945" s="2">
        <v>362.28443618756603</v>
      </c>
    </row>
    <row r="946" spans="1:2">
      <c r="A946">
        <v>945</v>
      </c>
      <c r="B946" s="2">
        <v>347.17067793145264</v>
      </c>
    </row>
    <row r="947" spans="1:2">
      <c r="A947">
        <v>946</v>
      </c>
      <c r="B947" s="2">
        <v>339.64522448304353</v>
      </c>
    </row>
    <row r="948" spans="1:2">
      <c r="A948">
        <v>947</v>
      </c>
      <c r="B948" s="2">
        <v>390.71895736203373</v>
      </c>
    </row>
    <row r="949" spans="1:2">
      <c r="A949">
        <v>948</v>
      </c>
      <c r="B949" s="2">
        <v>295.17999054516304</v>
      </c>
    </row>
    <row r="950" spans="1:2">
      <c r="A950">
        <v>949</v>
      </c>
      <c r="B950" s="2">
        <v>306.28084032705237</v>
      </c>
    </row>
    <row r="951" spans="1:2">
      <c r="A951">
        <v>950</v>
      </c>
      <c r="B951" s="2">
        <v>345.99379057630068</v>
      </c>
    </row>
    <row r="952" spans="1:2">
      <c r="A952">
        <v>951</v>
      </c>
      <c r="B952" s="2">
        <v>495.0692441634701</v>
      </c>
    </row>
    <row r="953" spans="1:2">
      <c r="A953">
        <v>952</v>
      </c>
      <c r="B953" s="2">
        <v>362.23414454831072</v>
      </c>
    </row>
    <row r="954" spans="1:2">
      <c r="A954">
        <v>953</v>
      </c>
      <c r="B954" s="2">
        <v>340.71515445125334</v>
      </c>
    </row>
    <row r="955" spans="1:2">
      <c r="A955">
        <v>954</v>
      </c>
      <c r="B955" s="2">
        <v>281.54098340639882</v>
      </c>
    </row>
    <row r="956" spans="1:2">
      <c r="A956">
        <v>955</v>
      </c>
      <c r="B956" s="2">
        <v>332.78071904563387</v>
      </c>
    </row>
    <row r="957" spans="1:2">
      <c r="A957">
        <v>956</v>
      </c>
      <c r="B957" s="2">
        <v>304.70137606331957</v>
      </c>
    </row>
    <row r="958" spans="1:2">
      <c r="A958">
        <v>957</v>
      </c>
      <c r="B958" s="2">
        <v>245.40272105016777</v>
      </c>
    </row>
    <row r="959" spans="1:2">
      <c r="A959">
        <v>958</v>
      </c>
      <c r="B959" s="2">
        <v>274.87326221984301</v>
      </c>
    </row>
    <row r="960" spans="1:2">
      <c r="A960">
        <v>959</v>
      </c>
      <c r="B960" s="2">
        <v>67.51199180369467</v>
      </c>
    </row>
    <row r="961" spans="1:2">
      <c r="A961">
        <v>960</v>
      </c>
      <c r="B961" s="2">
        <v>300.41414253270295</v>
      </c>
    </row>
    <row r="962" spans="1:2">
      <c r="A962">
        <v>961</v>
      </c>
      <c r="B962" s="2">
        <v>284.89823040650066</v>
      </c>
    </row>
    <row r="963" spans="1:2">
      <c r="A963">
        <v>962</v>
      </c>
      <c r="B963" s="2">
        <v>317.76961241654749</v>
      </c>
    </row>
    <row r="964" spans="1:2">
      <c r="A964">
        <v>963</v>
      </c>
      <c r="B964" s="2">
        <v>146.95987239640402</v>
      </c>
    </row>
    <row r="965" spans="1:2">
      <c r="A965">
        <v>964</v>
      </c>
      <c r="B965" s="2">
        <v>508.75532242448583</v>
      </c>
    </row>
    <row r="966" spans="1:2">
      <c r="A966">
        <v>965</v>
      </c>
      <c r="B966" s="2">
        <v>257.90789453918876</v>
      </c>
    </row>
    <row r="967" spans="1:2">
      <c r="A967">
        <v>966</v>
      </c>
      <c r="B967" s="2">
        <v>400.01002211001594</v>
      </c>
    </row>
    <row r="968" spans="1:2">
      <c r="A968">
        <v>967</v>
      </c>
      <c r="B968" s="2">
        <v>291.05487266988638</v>
      </c>
    </row>
    <row r="969" spans="1:2">
      <c r="A969">
        <v>968</v>
      </c>
      <c r="B969" s="2">
        <v>335.9772931994446</v>
      </c>
    </row>
    <row r="970" spans="1:2">
      <c r="A970">
        <v>969</v>
      </c>
      <c r="B970" s="2">
        <v>320.65609995626869</v>
      </c>
    </row>
    <row r="971" spans="1:2">
      <c r="A971">
        <v>970</v>
      </c>
      <c r="B971" s="2">
        <v>341.9167721598468</v>
      </c>
    </row>
    <row r="972" spans="1:2">
      <c r="A972">
        <v>971</v>
      </c>
      <c r="B972" s="2">
        <v>411.84806228724796</v>
      </c>
    </row>
    <row r="973" spans="1:2">
      <c r="A973">
        <v>972</v>
      </c>
      <c r="B973" s="2">
        <v>324.4952324127164</v>
      </c>
    </row>
    <row r="974" spans="1:2">
      <c r="A974">
        <v>973</v>
      </c>
      <c r="B974" s="2">
        <v>246.03429662359792</v>
      </c>
    </row>
    <row r="975" spans="1:2">
      <c r="A975">
        <v>974</v>
      </c>
      <c r="B975" s="2">
        <v>437.1000755717497</v>
      </c>
    </row>
    <row r="976" spans="1:2">
      <c r="A976">
        <v>975</v>
      </c>
      <c r="B976" s="2">
        <v>215.33358017057179</v>
      </c>
    </row>
    <row r="977" spans="1:2">
      <c r="A977">
        <v>976</v>
      </c>
      <c r="B977" s="2">
        <v>371.01720843132233</v>
      </c>
    </row>
    <row r="978" spans="1:2">
      <c r="A978">
        <v>977</v>
      </c>
      <c r="B978" s="2">
        <v>336.71867351284118</v>
      </c>
    </row>
    <row r="979" spans="1:2">
      <c r="A979">
        <v>978</v>
      </c>
      <c r="B979" s="2">
        <v>285.17750817865027</v>
      </c>
    </row>
    <row r="980" spans="1:2">
      <c r="A980">
        <v>979</v>
      </c>
      <c r="B980" s="2">
        <v>426.53788419670269</v>
      </c>
    </row>
    <row r="981" spans="1:2">
      <c r="A981">
        <v>980</v>
      </c>
      <c r="B981" s="2">
        <v>319.0625402674487</v>
      </c>
    </row>
    <row r="982" spans="1:2">
      <c r="A982">
        <v>981</v>
      </c>
      <c r="B982" s="2">
        <v>249.78136279130979</v>
      </c>
    </row>
    <row r="983" spans="1:2">
      <c r="A983">
        <v>982</v>
      </c>
      <c r="B983" s="2">
        <v>388.66703961447644</v>
      </c>
    </row>
    <row r="984" spans="1:2">
      <c r="A984">
        <v>983</v>
      </c>
      <c r="B984" s="2">
        <v>403.19249961559564</v>
      </c>
    </row>
    <row r="985" spans="1:2">
      <c r="A985">
        <v>984</v>
      </c>
      <c r="B985" s="2">
        <v>428.45576216939787</v>
      </c>
    </row>
    <row r="986" spans="1:2">
      <c r="A986">
        <v>985</v>
      </c>
      <c r="B986" s="2">
        <v>257.98780269748374</v>
      </c>
    </row>
    <row r="987" spans="1:2">
      <c r="A987">
        <v>986</v>
      </c>
      <c r="B987" s="2">
        <v>325.61820223161976</v>
      </c>
    </row>
    <row r="988" spans="1:2">
      <c r="A988">
        <v>987</v>
      </c>
      <c r="B988" s="2">
        <v>209.48150456808582</v>
      </c>
    </row>
    <row r="989" spans="1:2">
      <c r="A989">
        <v>988</v>
      </c>
      <c r="B989" s="2">
        <v>301.15539924218552</v>
      </c>
    </row>
    <row r="990" spans="1:2">
      <c r="A990">
        <v>989</v>
      </c>
      <c r="B990" s="2">
        <v>279.6722013491152</v>
      </c>
    </row>
    <row r="991" spans="1:2">
      <c r="A991">
        <v>990</v>
      </c>
      <c r="B991" s="2">
        <v>293.6865193365237</v>
      </c>
    </row>
    <row r="992" spans="1:2">
      <c r="A992">
        <v>991</v>
      </c>
      <c r="B992" s="2">
        <v>340.45504099635644</v>
      </c>
    </row>
    <row r="993" spans="1:2">
      <c r="A993">
        <v>992</v>
      </c>
      <c r="B993" s="2">
        <v>353.6325371606066</v>
      </c>
    </row>
    <row r="994" spans="1:2">
      <c r="A994">
        <v>993</v>
      </c>
      <c r="B994" s="2">
        <v>354.53233621661127</v>
      </c>
    </row>
    <row r="995" spans="1:2">
      <c r="A995">
        <v>994</v>
      </c>
      <c r="B995" s="2">
        <v>420.60992946535765</v>
      </c>
    </row>
    <row r="996" spans="1:2">
      <c r="A996">
        <v>995</v>
      </c>
      <c r="B996" s="2">
        <v>100.69109821094148</v>
      </c>
    </row>
    <row r="997" spans="1:2">
      <c r="A997">
        <v>996</v>
      </c>
      <c r="B997" s="2">
        <v>421.00493772734484</v>
      </c>
    </row>
    <row r="998" spans="1:2">
      <c r="A998">
        <v>997</v>
      </c>
      <c r="B998" s="2">
        <v>349.81471951939432</v>
      </c>
    </row>
    <row r="999" spans="1:2">
      <c r="A999">
        <v>998</v>
      </c>
      <c r="B999" s="2">
        <v>299.42294288779561</v>
      </c>
    </row>
    <row r="1000" spans="1:2">
      <c r="A1000">
        <v>999</v>
      </c>
      <c r="B1000" s="2">
        <v>434.62428211043448</v>
      </c>
    </row>
    <row r="1001" spans="1:2">
      <c r="A1001">
        <v>1000</v>
      </c>
      <c r="B1001" s="2">
        <v>208.43092443472631</v>
      </c>
    </row>
    <row r="1002" spans="1:2">
      <c r="A1002">
        <v>1001</v>
      </c>
      <c r="B1002" s="2">
        <v>430.28486124638493</v>
      </c>
    </row>
    <row r="1003" spans="1:2">
      <c r="A1003">
        <v>1002</v>
      </c>
      <c r="B1003" s="2">
        <v>319.00745212710228</v>
      </c>
    </row>
    <row r="1004" spans="1:2">
      <c r="A1004">
        <v>1003</v>
      </c>
      <c r="B1004" s="2">
        <v>382.15333092302916</v>
      </c>
    </row>
    <row r="1005" spans="1:2">
      <c r="A1005">
        <v>1004</v>
      </c>
      <c r="B1005" s="2">
        <v>462.43340578011146</v>
      </c>
    </row>
    <row r="1006" spans="1:2">
      <c r="A1006">
        <v>1005</v>
      </c>
      <c r="B1006" s="2">
        <v>391.70212333373854</v>
      </c>
    </row>
    <row r="1007" spans="1:2">
      <c r="A1007">
        <v>1006</v>
      </c>
      <c r="B1007" s="2">
        <v>355.24925261884533</v>
      </c>
    </row>
    <row r="1008" spans="1:2">
      <c r="A1008">
        <v>1007</v>
      </c>
      <c r="B1008" s="2">
        <v>328.79020898332772</v>
      </c>
    </row>
    <row r="1009" spans="1:2">
      <c r="A1009">
        <v>1008</v>
      </c>
      <c r="B1009" s="2">
        <v>234.64293455848019</v>
      </c>
    </row>
    <row r="1010" spans="1:2">
      <c r="A1010">
        <v>1009</v>
      </c>
      <c r="B1010" s="2">
        <v>447.53696616731423</v>
      </c>
    </row>
    <row r="1011" spans="1:2">
      <c r="A1011">
        <v>1010</v>
      </c>
      <c r="B1011" s="2">
        <v>288.40381506979566</v>
      </c>
    </row>
    <row r="1012" spans="1:2">
      <c r="A1012">
        <v>1011</v>
      </c>
      <c r="B1012" s="2">
        <v>263.966160820158</v>
      </c>
    </row>
    <row r="1013" spans="1:2">
      <c r="A1013">
        <v>1012</v>
      </c>
      <c r="B1013" s="2">
        <v>233.71488510229065</v>
      </c>
    </row>
    <row r="1014" spans="1:2">
      <c r="A1014">
        <v>1013</v>
      </c>
      <c r="B1014" s="2">
        <v>400.2919127858089</v>
      </c>
    </row>
    <row r="1015" spans="1:2">
      <c r="A1015">
        <v>1014</v>
      </c>
      <c r="B1015" s="2">
        <v>468.64637318300026</v>
      </c>
    </row>
    <row r="1016" spans="1:2">
      <c r="A1016">
        <v>1015</v>
      </c>
      <c r="B1016" s="2">
        <v>323.71507252512339</v>
      </c>
    </row>
    <row r="1017" spans="1:2">
      <c r="A1017">
        <v>1016</v>
      </c>
      <c r="B1017" s="2">
        <v>337.64509623232766</v>
      </c>
    </row>
    <row r="1018" spans="1:2">
      <c r="A1018">
        <v>1017</v>
      </c>
      <c r="B1018" s="2">
        <v>261.41207793861508</v>
      </c>
    </row>
    <row r="1019" spans="1:2">
      <c r="A1019">
        <v>1018</v>
      </c>
      <c r="B1019" s="2">
        <v>319.11395426340857</v>
      </c>
    </row>
    <row r="1020" spans="1:2">
      <c r="A1020">
        <v>1019</v>
      </c>
      <c r="B1020" s="2">
        <v>398.40745190491577</v>
      </c>
    </row>
    <row r="1021" spans="1:2">
      <c r="A1021">
        <v>1020</v>
      </c>
      <c r="B1021" s="2">
        <v>460.91215885827603</v>
      </c>
    </row>
    <row r="1022" spans="1:2">
      <c r="A1022">
        <v>1021</v>
      </c>
      <c r="B1022" s="2">
        <v>265.25822677717298</v>
      </c>
    </row>
    <row r="1023" spans="1:2">
      <c r="A1023">
        <v>1022</v>
      </c>
      <c r="B1023" s="2">
        <v>458.52618525382343</v>
      </c>
    </row>
    <row r="1024" spans="1:2">
      <c r="A1024">
        <v>1023</v>
      </c>
      <c r="B1024" s="2">
        <v>273.8605767852855</v>
      </c>
    </row>
    <row r="1025" spans="1:2">
      <c r="A1025">
        <v>1024</v>
      </c>
      <c r="B1025" s="2">
        <v>361.38983779874741</v>
      </c>
    </row>
    <row r="1026" spans="1:2">
      <c r="A1026">
        <v>1025</v>
      </c>
      <c r="B1026" s="2">
        <v>304.87697804887091</v>
      </c>
    </row>
    <row r="1027" spans="1:2">
      <c r="A1027">
        <v>1026</v>
      </c>
      <c r="B1027" s="2">
        <v>329.86546945577101</v>
      </c>
    </row>
    <row r="1028" spans="1:2">
      <c r="A1028">
        <v>1027</v>
      </c>
      <c r="B1028" s="2">
        <v>382.86151206156978</v>
      </c>
    </row>
    <row r="1029" spans="1:2">
      <c r="A1029">
        <v>1028</v>
      </c>
      <c r="B1029" s="2">
        <v>325.78305564700815</v>
      </c>
    </row>
    <row r="1030" spans="1:2">
      <c r="A1030">
        <v>1029</v>
      </c>
      <c r="B1030" s="2">
        <v>304.82678904778493</v>
      </c>
    </row>
    <row r="1031" spans="1:2">
      <c r="A1031">
        <v>1030</v>
      </c>
      <c r="B1031" s="2">
        <v>348.26833191859237</v>
      </c>
    </row>
    <row r="1032" spans="1:2">
      <c r="A1032">
        <v>1031</v>
      </c>
      <c r="B1032" s="2">
        <v>265.59512327981707</v>
      </c>
    </row>
    <row r="1033" spans="1:2">
      <c r="A1033">
        <v>1032</v>
      </c>
      <c r="B1033" s="2">
        <v>256.57869949024018</v>
      </c>
    </row>
    <row r="1034" spans="1:2">
      <c r="A1034">
        <v>1033</v>
      </c>
      <c r="B1034" s="2">
        <v>492.09667525644375</v>
      </c>
    </row>
    <row r="1035" spans="1:2">
      <c r="A1035">
        <v>1034</v>
      </c>
      <c r="B1035" s="2">
        <v>360.16753848200437</v>
      </c>
    </row>
    <row r="1036" spans="1:2">
      <c r="A1036">
        <v>1035</v>
      </c>
      <c r="B1036" s="2">
        <v>400.55915953453746</v>
      </c>
    </row>
    <row r="1037" spans="1:2">
      <c r="A1037">
        <v>1036</v>
      </c>
      <c r="B1037" s="2">
        <v>270.9876499850717</v>
      </c>
    </row>
    <row r="1038" spans="1:2">
      <c r="A1038">
        <v>1037</v>
      </c>
      <c r="B1038" s="2">
        <v>464.00750014947641</v>
      </c>
    </row>
    <row r="1039" spans="1:2">
      <c r="A1039">
        <v>1038</v>
      </c>
      <c r="B1039" s="2">
        <v>217.5913532980083</v>
      </c>
    </row>
    <row r="1040" spans="1:2">
      <c r="A1040">
        <v>1039</v>
      </c>
      <c r="B1040" s="2">
        <v>167.0745346091424</v>
      </c>
    </row>
    <row r="1041" spans="1:2">
      <c r="A1041">
        <v>1040</v>
      </c>
      <c r="B1041" s="2">
        <v>377.34019655352989</v>
      </c>
    </row>
    <row r="1042" spans="1:2">
      <c r="A1042">
        <v>1041</v>
      </c>
      <c r="B1042" s="2">
        <v>331.03679233904563</v>
      </c>
    </row>
    <row r="1043" spans="1:2">
      <c r="A1043">
        <v>1042</v>
      </c>
      <c r="B1043" s="2">
        <v>335.94398157615183</v>
      </c>
    </row>
    <row r="1044" spans="1:2">
      <c r="A1044">
        <v>1043</v>
      </c>
      <c r="B1044" s="2">
        <v>375.96817376857149</v>
      </c>
    </row>
    <row r="1045" spans="1:2">
      <c r="A1045">
        <v>1044</v>
      </c>
      <c r="B1045" s="2">
        <v>390.4693847757664</v>
      </c>
    </row>
    <row r="1046" spans="1:2">
      <c r="A1046">
        <v>1045</v>
      </c>
      <c r="B1046" s="2">
        <v>321.05927405577927</v>
      </c>
    </row>
    <row r="1047" spans="1:2">
      <c r="A1047">
        <v>1046</v>
      </c>
      <c r="B1047" s="2">
        <v>303.94933104776339</v>
      </c>
    </row>
    <row r="1048" spans="1:2">
      <c r="A1048">
        <v>1047</v>
      </c>
      <c r="B1048" s="2">
        <v>351.44688903449912</v>
      </c>
    </row>
    <row r="1049" spans="1:2">
      <c r="A1049">
        <v>1048</v>
      </c>
      <c r="B1049" s="2">
        <v>220.94866141432317</v>
      </c>
    </row>
    <row r="1050" spans="1:2">
      <c r="A1050">
        <v>1049</v>
      </c>
      <c r="B1050" s="2">
        <v>293.66566496117287</v>
      </c>
    </row>
    <row r="1051" spans="1:2">
      <c r="A1051">
        <v>1050</v>
      </c>
      <c r="B1051" s="2">
        <v>265.74169995670127</v>
      </c>
    </row>
    <row r="1052" spans="1:2">
      <c r="A1052">
        <v>1051</v>
      </c>
      <c r="B1052" s="2">
        <v>441.55214891188774</v>
      </c>
    </row>
    <row r="1053" spans="1:2">
      <c r="A1053">
        <v>1052</v>
      </c>
      <c r="B1053" s="2">
        <v>315.93497843256472</v>
      </c>
    </row>
    <row r="1054" spans="1:2">
      <c r="A1054">
        <v>1053</v>
      </c>
      <c r="B1054" s="2">
        <v>291.24853120318016</v>
      </c>
    </row>
    <row r="1055" spans="1:2">
      <c r="A1055">
        <v>1054</v>
      </c>
      <c r="B1055" s="2">
        <v>304.18469708365888</v>
      </c>
    </row>
    <row r="1056" spans="1:2">
      <c r="A1056">
        <v>1055</v>
      </c>
      <c r="B1056" s="2">
        <v>395.90910484113908</v>
      </c>
    </row>
    <row r="1057" spans="1:2">
      <c r="A1057">
        <v>1056</v>
      </c>
      <c r="B1057" s="2">
        <v>266.89745295520879</v>
      </c>
    </row>
    <row r="1058" spans="1:2">
      <c r="A1058">
        <v>1057</v>
      </c>
      <c r="B1058" s="2">
        <v>188.75816230586554</v>
      </c>
    </row>
    <row r="1059" spans="1:2">
      <c r="A1059">
        <v>1058</v>
      </c>
      <c r="B1059" s="2">
        <v>399.17884961833136</v>
      </c>
    </row>
    <row r="1060" spans="1:2">
      <c r="A1060">
        <v>1059</v>
      </c>
      <c r="B1060" s="2">
        <v>186.04060665759272</v>
      </c>
    </row>
    <row r="1061" spans="1:2">
      <c r="A1061">
        <v>1060</v>
      </c>
      <c r="B1061" s="2">
        <v>470.04223686668558</v>
      </c>
    </row>
    <row r="1062" spans="1:2">
      <c r="A1062">
        <v>1061</v>
      </c>
      <c r="B1062" s="2">
        <v>356.46356775394202</v>
      </c>
    </row>
    <row r="1063" spans="1:2">
      <c r="A1063">
        <v>1062</v>
      </c>
      <c r="B1063" s="2">
        <v>378.85227113119373</v>
      </c>
    </row>
    <row r="1064" spans="1:2">
      <c r="A1064">
        <v>1063</v>
      </c>
      <c r="B1064" s="2">
        <v>261.47066811776733</v>
      </c>
    </row>
    <row r="1065" spans="1:2">
      <c r="A1065">
        <v>1064</v>
      </c>
      <c r="B1065" s="2">
        <v>390.97081485637688</v>
      </c>
    </row>
    <row r="1066" spans="1:2">
      <c r="A1066">
        <v>1065</v>
      </c>
      <c r="B1066" s="2">
        <v>351.88903437078812</v>
      </c>
    </row>
    <row r="1067" spans="1:2">
      <c r="A1067">
        <v>1066</v>
      </c>
      <c r="B1067" s="2">
        <v>314.53198650541185</v>
      </c>
    </row>
    <row r="1068" spans="1:2">
      <c r="A1068">
        <v>1067</v>
      </c>
      <c r="B1068" s="2">
        <v>168.84935971208637</v>
      </c>
    </row>
    <row r="1069" spans="1:2">
      <c r="A1069">
        <v>1068</v>
      </c>
      <c r="B1069" s="2">
        <v>312.18962960109479</v>
      </c>
    </row>
    <row r="1070" spans="1:2">
      <c r="A1070">
        <v>1069</v>
      </c>
      <c r="B1070" s="2">
        <v>442.24497804591522</v>
      </c>
    </row>
    <row r="1071" spans="1:2">
      <c r="A1071">
        <v>1070</v>
      </c>
      <c r="B1071" s="2">
        <v>327.85825862108493</v>
      </c>
    </row>
    <row r="1072" spans="1:2">
      <c r="A1072">
        <v>1071</v>
      </c>
      <c r="B1072" s="2">
        <v>510.08761867600015</v>
      </c>
    </row>
    <row r="1073" spans="1:2">
      <c r="A1073">
        <v>1072</v>
      </c>
      <c r="B1073" s="2">
        <v>392.77322754725645</v>
      </c>
    </row>
    <row r="1074" spans="1:2">
      <c r="A1074">
        <v>1073</v>
      </c>
      <c r="B1074" s="2">
        <v>281.11041338474445</v>
      </c>
    </row>
    <row r="1075" spans="1:2">
      <c r="A1075">
        <v>1074</v>
      </c>
      <c r="B1075" s="2">
        <v>393.21473164508461</v>
      </c>
    </row>
    <row r="1076" spans="1:2">
      <c r="A1076">
        <v>1075</v>
      </c>
      <c r="B1076" s="2">
        <v>334.30436111724947</v>
      </c>
    </row>
    <row r="1077" spans="1:2">
      <c r="A1077">
        <v>1076</v>
      </c>
      <c r="B1077" s="2">
        <v>448.78539032801257</v>
      </c>
    </row>
    <row r="1078" spans="1:2">
      <c r="A1078">
        <v>1077</v>
      </c>
      <c r="B1078" s="2">
        <v>232.38750547457454</v>
      </c>
    </row>
    <row r="1079" spans="1:2">
      <c r="A1079">
        <v>1078</v>
      </c>
      <c r="B1079" s="2">
        <v>352.89080498819044</v>
      </c>
    </row>
    <row r="1080" spans="1:2">
      <c r="A1080">
        <v>1079</v>
      </c>
      <c r="B1080" s="2">
        <v>329.01722788718604</v>
      </c>
    </row>
    <row r="1081" spans="1:2">
      <c r="A1081">
        <v>1080</v>
      </c>
      <c r="B1081" s="2">
        <v>302.31068583857171</v>
      </c>
    </row>
    <row r="1082" spans="1:2">
      <c r="A1082">
        <v>1081</v>
      </c>
      <c r="B1082" s="2">
        <v>542.32937624012425</v>
      </c>
    </row>
    <row r="1083" spans="1:2">
      <c r="A1083">
        <v>1082</v>
      </c>
      <c r="B1083" s="2">
        <v>317.52721075992292</v>
      </c>
    </row>
    <row r="1084" spans="1:2">
      <c r="A1084">
        <v>1083</v>
      </c>
      <c r="B1084" s="2">
        <v>335.93017068309081</v>
      </c>
    </row>
    <row r="1085" spans="1:2">
      <c r="A1085">
        <v>1084</v>
      </c>
      <c r="B1085" s="2">
        <v>423.82501108096949</v>
      </c>
    </row>
    <row r="1086" spans="1:2">
      <c r="A1086">
        <v>1085</v>
      </c>
      <c r="B1086" s="2">
        <v>319.84182595176151</v>
      </c>
    </row>
    <row r="1087" spans="1:2">
      <c r="A1087">
        <v>1086</v>
      </c>
      <c r="B1087" s="2">
        <v>368.05984040839763</v>
      </c>
    </row>
    <row r="1088" spans="1:2">
      <c r="A1088">
        <v>1087</v>
      </c>
      <c r="B1088" s="2">
        <v>484.65435808664381</v>
      </c>
    </row>
    <row r="1089" spans="1:2">
      <c r="A1089">
        <v>1088</v>
      </c>
      <c r="B1089" s="2">
        <v>348.56184830555895</v>
      </c>
    </row>
    <row r="1090" spans="1:2">
      <c r="A1090">
        <v>1089</v>
      </c>
      <c r="B1090" s="2">
        <v>334.1250762468153</v>
      </c>
    </row>
    <row r="1091" spans="1:2">
      <c r="A1091">
        <v>1090</v>
      </c>
      <c r="B1091" s="2">
        <v>345.21322104655218</v>
      </c>
    </row>
    <row r="1092" spans="1:2">
      <c r="A1092">
        <v>1091</v>
      </c>
      <c r="B1092" s="2">
        <v>364.2440263051941</v>
      </c>
    </row>
    <row r="1093" spans="1:2">
      <c r="A1093">
        <v>1092</v>
      </c>
      <c r="B1093" s="2">
        <v>385.03719859560886</v>
      </c>
    </row>
    <row r="1094" spans="1:2">
      <c r="A1094">
        <v>1093</v>
      </c>
      <c r="B1094" s="2">
        <v>282.11022441040751</v>
      </c>
    </row>
    <row r="1095" spans="1:2">
      <c r="A1095">
        <v>1094</v>
      </c>
      <c r="B1095" s="2">
        <v>308.24883754615774</v>
      </c>
    </row>
    <row r="1096" spans="1:2">
      <c r="A1096">
        <v>1095</v>
      </c>
      <c r="B1096" s="2">
        <v>216.41549660818345</v>
      </c>
    </row>
    <row r="1097" spans="1:2">
      <c r="A1097">
        <v>1096</v>
      </c>
      <c r="B1097" s="2">
        <v>456.76678958095465</v>
      </c>
    </row>
    <row r="1098" spans="1:2">
      <c r="A1098">
        <v>1097</v>
      </c>
      <c r="B1098" s="2">
        <v>283.99530273189612</v>
      </c>
    </row>
    <row r="1099" spans="1:2">
      <c r="A1099">
        <v>1098</v>
      </c>
      <c r="B1099" s="2">
        <v>257.61748602439957</v>
      </c>
    </row>
    <row r="1100" spans="1:2">
      <c r="A1100">
        <v>1099</v>
      </c>
      <c r="B1100" s="2">
        <v>431.44565349531678</v>
      </c>
    </row>
    <row r="1101" spans="1:2">
      <c r="A1101">
        <v>1100</v>
      </c>
      <c r="B1101" s="2">
        <v>296.66351432220063</v>
      </c>
    </row>
    <row r="1102" spans="1:2">
      <c r="A1102">
        <v>1101</v>
      </c>
      <c r="B1102" s="2">
        <v>148.54478074494494</v>
      </c>
    </row>
    <row r="1103" spans="1:2">
      <c r="A1103">
        <v>1102</v>
      </c>
      <c r="B1103" s="2">
        <v>434.76312619443115</v>
      </c>
    </row>
    <row r="1104" spans="1:2">
      <c r="A1104">
        <v>1103</v>
      </c>
      <c r="B1104" s="2">
        <v>339.54576381073383</v>
      </c>
    </row>
    <row r="1105" spans="1:2">
      <c r="A1105">
        <v>1104</v>
      </c>
      <c r="B1105" s="2">
        <v>384.26020638955498</v>
      </c>
    </row>
    <row r="1106" spans="1:2">
      <c r="A1106">
        <v>1105</v>
      </c>
      <c r="B1106" s="2">
        <v>440.20901883048816</v>
      </c>
    </row>
    <row r="1107" spans="1:2">
      <c r="A1107">
        <v>1106</v>
      </c>
      <c r="B1107" s="2">
        <v>449.27033432202791</v>
      </c>
    </row>
    <row r="1108" spans="1:2">
      <c r="A1108">
        <v>1107</v>
      </c>
      <c r="B1108" s="2">
        <v>291.62364832634307</v>
      </c>
    </row>
    <row r="1109" spans="1:2">
      <c r="A1109">
        <v>1108</v>
      </c>
      <c r="B1109" s="2">
        <v>360.15683288026094</v>
      </c>
    </row>
    <row r="1110" spans="1:2">
      <c r="A1110">
        <v>1109</v>
      </c>
      <c r="B1110" s="2">
        <v>415.33409308529394</v>
      </c>
    </row>
    <row r="1111" spans="1:2">
      <c r="A1111">
        <v>1110</v>
      </c>
      <c r="B1111" s="2">
        <v>473.11473578273547</v>
      </c>
    </row>
    <row r="1112" spans="1:2">
      <c r="A1112">
        <v>1111</v>
      </c>
      <c r="B1112" s="2">
        <v>356.87708266542126</v>
      </c>
    </row>
    <row r="1113" spans="1:2">
      <c r="A1113">
        <v>1112</v>
      </c>
      <c r="B1113" s="2">
        <v>361.20588097407995</v>
      </c>
    </row>
    <row r="1114" spans="1:2">
      <c r="A1114">
        <v>1113</v>
      </c>
      <c r="B1114" s="2">
        <v>149.97316654791308</v>
      </c>
    </row>
    <row r="1115" spans="1:2">
      <c r="A1115">
        <v>1114</v>
      </c>
      <c r="B1115" s="2">
        <v>352.15954194284745</v>
      </c>
    </row>
    <row r="1116" spans="1:2">
      <c r="A1116">
        <v>1115</v>
      </c>
      <c r="B1116" s="2">
        <v>205.40258423138832</v>
      </c>
    </row>
    <row r="1117" spans="1:2">
      <c r="A1117">
        <v>1116</v>
      </c>
      <c r="B1117" s="2">
        <v>359.96900844140748</v>
      </c>
    </row>
    <row r="1118" spans="1:2">
      <c r="A1118">
        <v>1117</v>
      </c>
      <c r="B1118" s="2">
        <v>328.76720895751635</v>
      </c>
    </row>
    <row r="1119" spans="1:2">
      <c r="A1119">
        <v>1118</v>
      </c>
      <c r="B1119" s="2">
        <v>252.79383387539082</v>
      </c>
    </row>
    <row r="1120" spans="1:2">
      <c r="A1120">
        <v>1119</v>
      </c>
      <c r="B1120" s="2">
        <v>458.2872845569396</v>
      </c>
    </row>
    <row r="1121" spans="1:2">
      <c r="A1121">
        <v>1120</v>
      </c>
      <c r="B1121" s="2">
        <v>229.63279459663917</v>
      </c>
    </row>
    <row r="1122" spans="1:2">
      <c r="A1122">
        <v>1121</v>
      </c>
      <c r="B1122" s="2">
        <v>207.32491359252231</v>
      </c>
    </row>
    <row r="1123" spans="1:2">
      <c r="A1123">
        <v>1122</v>
      </c>
      <c r="B1123" s="2">
        <v>342.70573889350658</v>
      </c>
    </row>
    <row r="1124" spans="1:2">
      <c r="A1124">
        <v>1123</v>
      </c>
      <c r="B1124" s="2">
        <v>464.24226175119304</v>
      </c>
    </row>
    <row r="1125" spans="1:2">
      <c r="A1125">
        <v>1124</v>
      </c>
      <c r="B1125" s="2">
        <v>289.50118471231815</v>
      </c>
    </row>
    <row r="1126" spans="1:2">
      <c r="A1126">
        <v>1125</v>
      </c>
      <c r="B1126" s="2">
        <v>479.70016230625578</v>
      </c>
    </row>
    <row r="1127" spans="1:2">
      <c r="A1127">
        <v>1126</v>
      </c>
      <c r="B1127" s="2">
        <v>379.86585794550575</v>
      </c>
    </row>
    <row r="1128" spans="1:2">
      <c r="A1128">
        <v>1127</v>
      </c>
      <c r="B1128" s="2">
        <v>332.08743328291143</v>
      </c>
    </row>
    <row r="1129" spans="1:2">
      <c r="A1129">
        <v>1128</v>
      </c>
      <c r="B1129" s="2">
        <v>428.93728926285371</v>
      </c>
    </row>
    <row r="1130" spans="1:2">
      <c r="A1130">
        <v>1129</v>
      </c>
      <c r="B1130" s="2">
        <v>245.96691912724302</v>
      </c>
    </row>
    <row r="1131" spans="1:2">
      <c r="A1131">
        <v>1130</v>
      </c>
      <c r="B1131" s="2">
        <v>223.23938133843359</v>
      </c>
    </row>
    <row r="1132" spans="1:2">
      <c r="A1132">
        <v>1131</v>
      </c>
      <c r="B1132" s="2">
        <v>291.32415514218212</v>
      </c>
    </row>
    <row r="1133" spans="1:2">
      <c r="A1133">
        <v>1132</v>
      </c>
      <c r="B1133" s="2">
        <v>343.85607525311332</v>
      </c>
    </row>
    <row r="1134" spans="1:2">
      <c r="A1134">
        <v>1133</v>
      </c>
      <c r="B1134" s="2">
        <v>386.50371326874472</v>
      </c>
    </row>
    <row r="1135" spans="1:2">
      <c r="A1135">
        <v>1134</v>
      </c>
      <c r="B1135" s="2">
        <v>323.58159832942334</v>
      </c>
    </row>
    <row r="1136" spans="1:2">
      <c r="A1136">
        <v>1135</v>
      </c>
      <c r="B1136" s="2">
        <v>336.29476896747411</v>
      </c>
    </row>
    <row r="1137" spans="1:2">
      <c r="A1137">
        <v>1136</v>
      </c>
      <c r="B1137" s="2">
        <v>339.0328259831283</v>
      </c>
    </row>
    <row r="1138" spans="1:2">
      <c r="A1138">
        <v>1137</v>
      </c>
      <c r="B1138" s="2">
        <v>273.78058530525539</v>
      </c>
    </row>
    <row r="1139" spans="1:2">
      <c r="A1139">
        <v>1138</v>
      </c>
      <c r="B1139" s="2">
        <v>359.54592218590284</v>
      </c>
    </row>
    <row r="1140" spans="1:2">
      <c r="A1140">
        <v>1139</v>
      </c>
      <c r="B1140" s="2">
        <v>419.26054999296906</v>
      </c>
    </row>
    <row r="1141" spans="1:2">
      <c r="A1141">
        <v>1140</v>
      </c>
      <c r="B1141" s="2">
        <v>308.19917899329482</v>
      </c>
    </row>
    <row r="1142" spans="1:2">
      <c r="A1142">
        <v>1141</v>
      </c>
      <c r="B1142" s="2">
        <v>221.39018972068695</v>
      </c>
    </row>
    <row r="1143" spans="1:2">
      <c r="A1143">
        <v>1142</v>
      </c>
      <c r="B1143" s="2">
        <v>372.87218770509827</v>
      </c>
    </row>
    <row r="1144" spans="1:2">
      <c r="A1144">
        <v>1143</v>
      </c>
      <c r="B1144" s="2">
        <v>401.34389124417623</v>
      </c>
    </row>
    <row r="1145" spans="1:2">
      <c r="A1145">
        <v>1144</v>
      </c>
      <c r="B1145" s="2">
        <v>279.32024831658936</v>
      </c>
    </row>
    <row r="1146" spans="1:2">
      <c r="A1146">
        <v>1145</v>
      </c>
      <c r="B1146" s="2">
        <v>333.61433013884255</v>
      </c>
    </row>
    <row r="1147" spans="1:2">
      <c r="A1147">
        <v>1146</v>
      </c>
      <c r="B1147" s="2">
        <v>221.43062792513257</v>
      </c>
    </row>
    <row r="1148" spans="1:2">
      <c r="A1148">
        <v>1147</v>
      </c>
      <c r="B1148" s="2">
        <v>295.14450203275169</v>
      </c>
    </row>
    <row r="1149" spans="1:2">
      <c r="A1149">
        <v>1148</v>
      </c>
      <c r="B1149" s="2">
        <v>228.57383584890653</v>
      </c>
    </row>
    <row r="1150" spans="1:2">
      <c r="A1150">
        <v>1149</v>
      </c>
      <c r="B1150" s="2">
        <v>244.69158548304807</v>
      </c>
    </row>
    <row r="1151" spans="1:2">
      <c r="A1151">
        <v>1150</v>
      </c>
      <c r="B1151" s="2">
        <v>269.10280331428953</v>
      </c>
    </row>
    <row r="1152" spans="1:2">
      <c r="A1152">
        <v>1151</v>
      </c>
      <c r="B1152" s="2">
        <v>303.22590106878306</v>
      </c>
    </row>
    <row r="1153" spans="1:2">
      <c r="A1153">
        <v>1152</v>
      </c>
      <c r="B1153" s="2">
        <v>311.35432294508217</v>
      </c>
    </row>
    <row r="1154" spans="1:2">
      <c r="A1154">
        <v>1153</v>
      </c>
      <c r="B1154" s="2">
        <v>371.58679393232137</v>
      </c>
    </row>
    <row r="1155" spans="1:2">
      <c r="A1155">
        <v>1154</v>
      </c>
      <c r="B1155" s="2">
        <v>391.21663133620228</v>
      </c>
    </row>
    <row r="1156" spans="1:2">
      <c r="A1156">
        <v>1155</v>
      </c>
      <c r="B1156" s="2">
        <v>480.69114471674249</v>
      </c>
    </row>
    <row r="1157" spans="1:2">
      <c r="A1157">
        <v>1156</v>
      </c>
      <c r="B1157" s="2">
        <v>354.78932204403611</v>
      </c>
    </row>
    <row r="1158" spans="1:2">
      <c r="A1158">
        <v>1157</v>
      </c>
      <c r="B1158" s="2">
        <v>353.68446355352478</v>
      </c>
    </row>
    <row r="1159" spans="1:2">
      <c r="A1159">
        <v>1158</v>
      </c>
      <c r="B1159" s="2">
        <v>318.97005145177269</v>
      </c>
    </row>
    <row r="1160" spans="1:2">
      <c r="A1160">
        <v>1159</v>
      </c>
      <c r="B1160" s="2">
        <v>363.78450003148771</v>
      </c>
    </row>
    <row r="1161" spans="1:2">
      <c r="A1161">
        <v>1160</v>
      </c>
      <c r="B1161" s="2">
        <v>202.57105139939438</v>
      </c>
    </row>
    <row r="1162" spans="1:2">
      <c r="A1162">
        <v>1161</v>
      </c>
      <c r="B1162" s="2">
        <v>327.50589267021621</v>
      </c>
    </row>
    <row r="1163" spans="1:2">
      <c r="A1163">
        <v>1162</v>
      </c>
      <c r="B1163" s="2">
        <v>326.76855577124229</v>
      </c>
    </row>
    <row r="1164" spans="1:2">
      <c r="A1164">
        <v>1163</v>
      </c>
      <c r="B1164" s="2">
        <v>241.26712434199808</v>
      </c>
    </row>
    <row r="1165" spans="1:2">
      <c r="A1165">
        <v>1164</v>
      </c>
      <c r="B1165" s="2">
        <v>319.12647326201818</v>
      </c>
    </row>
    <row r="1166" spans="1:2">
      <c r="A1166">
        <v>1165</v>
      </c>
      <c r="B1166" s="2">
        <v>439.03009723695072</v>
      </c>
    </row>
    <row r="1167" spans="1:2">
      <c r="A1167">
        <v>1166</v>
      </c>
      <c r="B1167" s="2">
        <v>350.31281641942064</v>
      </c>
    </row>
    <row r="1168" spans="1:2">
      <c r="A1168">
        <v>1167</v>
      </c>
      <c r="B1168" s="2">
        <v>332.65674704089236</v>
      </c>
    </row>
    <row r="1169" spans="1:2">
      <c r="A1169">
        <v>1168</v>
      </c>
      <c r="B1169" s="2">
        <v>281.79845647784015</v>
      </c>
    </row>
    <row r="1170" spans="1:2">
      <c r="A1170">
        <v>1169</v>
      </c>
      <c r="B1170" s="2">
        <v>321.62966181491657</v>
      </c>
    </row>
    <row r="1171" spans="1:2">
      <c r="A1171">
        <v>1170</v>
      </c>
      <c r="B1171" s="2">
        <v>411.90983482275817</v>
      </c>
    </row>
    <row r="1172" spans="1:2">
      <c r="A1172">
        <v>1171</v>
      </c>
      <c r="B1172" s="2">
        <v>344.19313813426936</v>
      </c>
    </row>
    <row r="1173" spans="1:2">
      <c r="A1173">
        <v>1172</v>
      </c>
      <c r="B1173" s="2">
        <v>194.95957336447097</v>
      </c>
    </row>
    <row r="1174" spans="1:2">
      <c r="A1174">
        <v>1173</v>
      </c>
      <c r="B1174" s="2">
        <v>340.16009509376545</v>
      </c>
    </row>
    <row r="1175" spans="1:2">
      <c r="A1175">
        <v>1174</v>
      </c>
      <c r="B1175" s="2">
        <v>429.03012432840103</v>
      </c>
    </row>
    <row r="1176" spans="1:2">
      <c r="A1176">
        <v>1175</v>
      </c>
      <c r="B1176" s="2">
        <v>270.97218105552531</v>
      </c>
    </row>
    <row r="1177" spans="1:2">
      <c r="A1177">
        <v>1176</v>
      </c>
      <c r="B1177" s="2">
        <v>316.46234601823272</v>
      </c>
    </row>
    <row r="1178" spans="1:2">
      <c r="A1178">
        <v>1177</v>
      </c>
      <c r="B1178" s="2">
        <v>318.20677984454073</v>
      </c>
    </row>
    <row r="1179" spans="1:2">
      <c r="A1179">
        <v>1178</v>
      </c>
      <c r="B1179" s="2">
        <v>473.19344734431047</v>
      </c>
    </row>
    <row r="1180" spans="1:2">
      <c r="A1180">
        <v>1179</v>
      </c>
      <c r="B1180" s="2">
        <v>241.85745952142952</v>
      </c>
    </row>
    <row r="1181" spans="1:2">
      <c r="A1181">
        <v>1180</v>
      </c>
      <c r="B1181" s="2">
        <v>355.81899285646256</v>
      </c>
    </row>
    <row r="1182" spans="1:2">
      <c r="A1182">
        <v>1181</v>
      </c>
      <c r="B1182" s="2">
        <v>339.11913034129236</v>
      </c>
    </row>
    <row r="1183" spans="1:2">
      <c r="A1183">
        <v>1182</v>
      </c>
      <c r="B1183" s="2">
        <v>267.87445745752893</v>
      </c>
    </row>
    <row r="1184" spans="1:2">
      <c r="A1184">
        <v>1183</v>
      </c>
      <c r="B1184" s="2">
        <v>428.6554872477605</v>
      </c>
    </row>
    <row r="1185" spans="1:2">
      <c r="A1185">
        <v>1184</v>
      </c>
      <c r="B1185" s="2">
        <v>302.85334742138718</v>
      </c>
    </row>
    <row r="1186" spans="1:2">
      <c r="A1186">
        <v>1185</v>
      </c>
      <c r="B1186" s="2">
        <v>356.17975352285504</v>
      </c>
    </row>
    <row r="1187" spans="1:2">
      <c r="A1187">
        <v>1186</v>
      </c>
      <c r="B1187" s="2">
        <v>425.04211970829397</v>
      </c>
    </row>
    <row r="1188" spans="1:2">
      <c r="A1188">
        <v>1187</v>
      </c>
      <c r="B1188" s="2">
        <v>404.81387607476813</v>
      </c>
    </row>
    <row r="1189" spans="1:2">
      <c r="A1189">
        <v>1188</v>
      </c>
      <c r="B1189" s="2">
        <v>446.14844315654449</v>
      </c>
    </row>
    <row r="1190" spans="1:2">
      <c r="A1190">
        <v>1189</v>
      </c>
      <c r="B1190" s="2">
        <v>334.21671191259662</v>
      </c>
    </row>
    <row r="1191" spans="1:2">
      <c r="A1191">
        <v>1190</v>
      </c>
      <c r="B1191" s="2">
        <v>296.00023468345773</v>
      </c>
    </row>
    <row r="1192" spans="1:2">
      <c r="A1192">
        <v>1191</v>
      </c>
      <c r="B1192" s="2">
        <v>264.00275857750285</v>
      </c>
    </row>
    <row r="1193" spans="1:2">
      <c r="A1193">
        <v>1192</v>
      </c>
      <c r="B1193" s="2">
        <v>412.81931209856685</v>
      </c>
    </row>
    <row r="1194" spans="1:2">
      <c r="A1194">
        <v>1193</v>
      </c>
      <c r="B1194" s="2">
        <v>443.08098873651454</v>
      </c>
    </row>
    <row r="1195" spans="1:2">
      <c r="A1195">
        <v>1194</v>
      </c>
      <c r="B1195" s="2">
        <v>347.19775596795432</v>
      </c>
    </row>
    <row r="1196" spans="1:2">
      <c r="A1196">
        <v>1195</v>
      </c>
      <c r="B1196" s="2">
        <v>407.60250692025198</v>
      </c>
    </row>
    <row r="1197" spans="1:2">
      <c r="A1197">
        <v>1196</v>
      </c>
      <c r="B1197" s="2">
        <v>329.99393610076288</v>
      </c>
    </row>
    <row r="1198" spans="1:2">
      <c r="A1198">
        <v>1197</v>
      </c>
      <c r="B1198" s="2">
        <v>428.03299036545445</v>
      </c>
    </row>
    <row r="1199" spans="1:2">
      <c r="A1199">
        <v>1198</v>
      </c>
      <c r="B1199" s="2">
        <v>405.36893183347001</v>
      </c>
    </row>
    <row r="1200" spans="1:2">
      <c r="A1200">
        <v>1199</v>
      </c>
      <c r="B1200" s="2">
        <v>517.96849008910931</v>
      </c>
    </row>
    <row r="1201" spans="1:2">
      <c r="A1201">
        <v>1200</v>
      </c>
      <c r="B1201" s="2">
        <v>207.24837210460845</v>
      </c>
    </row>
    <row r="1202" spans="1:2">
      <c r="A1202">
        <v>1201</v>
      </c>
      <c r="B1202" s="2">
        <v>330.7547492384798</v>
      </c>
    </row>
    <row r="1203" spans="1:2">
      <c r="A1203">
        <v>1202</v>
      </c>
      <c r="B1203" s="2">
        <v>386.86781463034799</v>
      </c>
    </row>
    <row r="1204" spans="1:2">
      <c r="A1204">
        <v>1203</v>
      </c>
      <c r="B1204" s="2">
        <v>318.95621385976892</v>
      </c>
    </row>
    <row r="1205" spans="1:2">
      <c r="A1205">
        <v>1204</v>
      </c>
      <c r="B1205" s="2">
        <v>425.50098815607504</v>
      </c>
    </row>
    <row r="1206" spans="1:2">
      <c r="A1206">
        <v>1205</v>
      </c>
      <c r="B1206" s="2">
        <v>343.14210441655007</v>
      </c>
    </row>
    <row r="1207" spans="1:2">
      <c r="A1207">
        <v>1206</v>
      </c>
      <c r="B1207" s="2">
        <v>407.69775630025185</v>
      </c>
    </row>
    <row r="1208" spans="1:2">
      <c r="A1208">
        <v>1207</v>
      </c>
      <c r="B1208" s="2">
        <v>270.44631462462166</v>
      </c>
    </row>
    <row r="1209" spans="1:2">
      <c r="A1209">
        <v>1208</v>
      </c>
      <c r="B1209" s="2">
        <v>382.9031252850491</v>
      </c>
    </row>
    <row r="1210" spans="1:2">
      <c r="A1210">
        <v>1209</v>
      </c>
      <c r="B1210" s="2">
        <v>403.05632777862189</v>
      </c>
    </row>
    <row r="1211" spans="1:2">
      <c r="A1211">
        <v>1210</v>
      </c>
      <c r="B1211" s="2">
        <v>305.97071060488418</v>
      </c>
    </row>
    <row r="1212" spans="1:2">
      <c r="A1212">
        <v>1211</v>
      </c>
      <c r="B1212" s="2">
        <v>501.93819475195068</v>
      </c>
    </row>
    <row r="1213" spans="1:2">
      <c r="A1213">
        <v>1212</v>
      </c>
      <c r="B1213" s="2">
        <v>335.67154807907627</v>
      </c>
    </row>
    <row r="1214" spans="1:2">
      <c r="A1214">
        <v>1213</v>
      </c>
      <c r="B1214" s="2">
        <v>318.01445564074049</v>
      </c>
    </row>
    <row r="1215" spans="1:2">
      <c r="A1215">
        <v>1214</v>
      </c>
      <c r="B1215" s="2">
        <v>313.82715942575339</v>
      </c>
    </row>
    <row r="1216" spans="1:2">
      <c r="A1216">
        <v>1215</v>
      </c>
      <c r="B1216" s="2">
        <v>395.09368656101731</v>
      </c>
    </row>
    <row r="1217" spans="1:2">
      <c r="A1217">
        <v>1216</v>
      </c>
      <c r="B1217" s="2">
        <v>295.29222245290714</v>
      </c>
    </row>
    <row r="1218" spans="1:2">
      <c r="A1218">
        <v>1217</v>
      </c>
      <c r="B1218" s="2">
        <v>303.12086752765777</v>
      </c>
    </row>
    <row r="1219" spans="1:2">
      <c r="A1219">
        <v>1218</v>
      </c>
      <c r="B1219" s="2">
        <v>235.96296861708353</v>
      </c>
    </row>
    <row r="1220" spans="1:2">
      <c r="A1220">
        <v>1219</v>
      </c>
      <c r="B1220" s="2">
        <v>336.62491767657582</v>
      </c>
    </row>
    <row r="1221" spans="1:2">
      <c r="A1221">
        <v>1220</v>
      </c>
      <c r="B1221" s="2">
        <v>369.15534258525918</v>
      </c>
    </row>
    <row r="1222" spans="1:2">
      <c r="A1222">
        <v>1221</v>
      </c>
      <c r="B1222" s="2">
        <v>322.17619876249108</v>
      </c>
    </row>
    <row r="1223" spans="1:2">
      <c r="A1223">
        <v>1222</v>
      </c>
      <c r="B1223" s="2">
        <v>305.38949367933878</v>
      </c>
    </row>
    <row r="1224" spans="1:2">
      <c r="A1224">
        <v>1223</v>
      </c>
      <c r="B1224" s="2">
        <v>433.3620945448211</v>
      </c>
    </row>
    <row r="1225" spans="1:2">
      <c r="A1225">
        <v>1224</v>
      </c>
      <c r="B1225" s="2">
        <v>331.41553227294867</v>
      </c>
    </row>
    <row r="1226" spans="1:2">
      <c r="A1226">
        <v>1225</v>
      </c>
      <c r="B1226" s="2">
        <v>474.77470261567976</v>
      </c>
    </row>
    <row r="1227" spans="1:2">
      <c r="A1227">
        <v>1226</v>
      </c>
      <c r="B1227" s="2">
        <v>318.9585307327219</v>
      </c>
    </row>
    <row r="1228" spans="1:2">
      <c r="A1228">
        <v>1227</v>
      </c>
      <c r="B1228" s="2">
        <v>421.87939907858038</v>
      </c>
    </row>
    <row r="1229" spans="1:2">
      <c r="A1229">
        <v>1228</v>
      </c>
      <c r="B1229" s="2">
        <v>187.12824009943793</v>
      </c>
    </row>
    <row r="1230" spans="1:2">
      <c r="A1230">
        <v>1229</v>
      </c>
      <c r="B1230" s="2">
        <v>422.19658263805638</v>
      </c>
    </row>
    <row r="1231" spans="1:2">
      <c r="A1231">
        <v>1230</v>
      </c>
      <c r="B1231" s="2">
        <v>270.40300795928516</v>
      </c>
    </row>
    <row r="1232" spans="1:2">
      <c r="A1232">
        <v>1231</v>
      </c>
      <c r="B1232" s="2">
        <v>346.60731185904694</v>
      </c>
    </row>
    <row r="1233" spans="1:2">
      <c r="A1233">
        <v>1232</v>
      </c>
      <c r="B1233" s="2">
        <v>250.56243288389817</v>
      </c>
    </row>
    <row r="1234" spans="1:2">
      <c r="A1234">
        <v>1233</v>
      </c>
      <c r="B1234" s="2">
        <v>364.52539548860614</v>
      </c>
    </row>
    <row r="1235" spans="1:2">
      <c r="A1235">
        <v>1234</v>
      </c>
      <c r="B1235" s="2">
        <v>421.54601040195507</v>
      </c>
    </row>
    <row r="1236" spans="1:2">
      <c r="A1236">
        <v>1235</v>
      </c>
      <c r="B1236" s="2">
        <v>560.54389205555776</v>
      </c>
    </row>
    <row r="1237" spans="1:2">
      <c r="A1237">
        <v>1236</v>
      </c>
      <c r="B1237" s="2">
        <v>457.77253240732904</v>
      </c>
    </row>
    <row r="1238" spans="1:2">
      <c r="A1238">
        <v>1237</v>
      </c>
      <c r="B1238" s="2">
        <v>181.76538423508134</v>
      </c>
    </row>
    <row r="1239" spans="1:2">
      <c r="A1239">
        <v>1238</v>
      </c>
      <c r="B1239" s="2">
        <v>307.96796363411715</v>
      </c>
    </row>
    <row r="1240" spans="1:2">
      <c r="A1240">
        <v>1239</v>
      </c>
      <c r="B1240" s="2">
        <v>330.03084772119649</v>
      </c>
    </row>
    <row r="1241" spans="1:2">
      <c r="A1241">
        <v>1240</v>
      </c>
      <c r="B1241" s="2">
        <v>242.85756279273451</v>
      </c>
    </row>
    <row r="1242" spans="1:2">
      <c r="A1242">
        <v>1241</v>
      </c>
      <c r="B1242" s="2">
        <v>544.7131351255274</v>
      </c>
    </row>
    <row r="1243" spans="1:2">
      <c r="A1243">
        <v>1242</v>
      </c>
      <c r="B1243" s="2">
        <v>377.7470202591237</v>
      </c>
    </row>
    <row r="1244" spans="1:2">
      <c r="A1244">
        <v>1243</v>
      </c>
      <c r="B1244" s="2">
        <v>372.82022452515895</v>
      </c>
    </row>
    <row r="1245" spans="1:2">
      <c r="A1245">
        <v>1244</v>
      </c>
      <c r="B1245" s="2">
        <v>152.23869419243113</v>
      </c>
    </row>
    <row r="1246" spans="1:2">
      <c r="A1246">
        <v>1245</v>
      </c>
      <c r="B1246" s="2">
        <v>354.01452276985668</v>
      </c>
    </row>
    <row r="1247" spans="1:2">
      <c r="A1247">
        <v>1246</v>
      </c>
      <c r="B1247" s="2">
        <v>268.29099969503807</v>
      </c>
    </row>
    <row r="1248" spans="1:2">
      <c r="A1248">
        <v>1247</v>
      </c>
      <c r="B1248" s="2">
        <v>434.51321225712263</v>
      </c>
    </row>
    <row r="1249" spans="1:2">
      <c r="A1249">
        <v>1248</v>
      </c>
      <c r="B1249" s="2">
        <v>518.82047632471586</v>
      </c>
    </row>
    <row r="1250" spans="1:2">
      <c r="A1250">
        <v>1249</v>
      </c>
      <c r="B1250" s="2">
        <v>362.75790360344729</v>
      </c>
    </row>
    <row r="1251" spans="1:2">
      <c r="A1251">
        <v>1250</v>
      </c>
      <c r="B1251" s="2">
        <v>249.53800361672285</v>
      </c>
    </row>
    <row r="1252" spans="1:2">
      <c r="A1252">
        <v>1251</v>
      </c>
      <c r="B1252" s="2">
        <v>390.65541149090569</v>
      </c>
    </row>
    <row r="1253" spans="1:2">
      <c r="A1253">
        <v>1252</v>
      </c>
      <c r="B1253" s="2">
        <v>271.63433248846206</v>
      </c>
    </row>
    <row r="1254" spans="1:2">
      <c r="A1254">
        <v>1253</v>
      </c>
      <c r="B1254" s="2">
        <v>273.14758915693227</v>
      </c>
    </row>
    <row r="1255" spans="1:2">
      <c r="A1255">
        <v>1254</v>
      </c>
      <c r="B1255" s="2">
        <v>244.5446613657237</v>
      </c>
    </row>
    <row r="1256" spans="1:2">
      <c r="A1256">
        <v>1255</v>
      </c>
      <c r="B1256" s="2">
        <v>528.65858570263356</v>
      </c>
    </row>
    <row r="1257" spans="1:2">
      <c r="A1257">
        <v>1256</v>
      </c>
      <c r="B1257" s="2">
        <v>385.56517349182451</v>
      </c>
    </row>
    <row r="1258" spans="1:2">
      <c r="A1258">
        <v>1257</v>
      </c>
      <c r="B1258" s="2">
        <v>488.17007713277758</v>
      </c>
    </row>
    <row r="1259" spans="1:2">
      <c r="A1259">
        <v>1258</v>
      </c>
      <c r="B1259" s="2">
        <v>324.77245469839283</v>
      </c>
    </row>
    <row r="1260" spans="1:2">
      <c r="A1260">
        <v>1259</v>
      </c>
      <c r="B1260" s="2">
        <v>246.38421298662919</v>
      </c>
    </row>
    <row r="1261" spans="1:2">
      <c r="A1261">
        <v>1260</v>
      </c>
      <c r="B1261" s="2">
        <v>508.85208803206967</v>
      </c>
    </row>
    <row r="1262" spans="1:2">
      <c r="A1262">
        <v>1261</v>
      </c>
      <c r="B1262" s="2">
        <v>422.13803513318487</v>
      </c>
    </row>
    <row r="1263" spans="1:2">
      <c r="A1263">
        <v>1262</v>
      </c>
      <c r="B1263" s="2">
        <v>396.63799843763002</v>
      </c>
    </row>
    <row r="1264" spans="1:2">
      <c r="A1264">
        <v>1263</v>
      </c>
      <c r="B1264" s="2">
        <v>294.40578005204401</v>
      </c>
    </row>
    <row r="1265" spans="1:2">
      <c r="A1265">
        <v>1264</v>
      </c>
      <c r="B1265" s="2">
        <v>211.81715290145502</v>
      </c>
    </row>
    <row r="1266" spans="1:2">
      <c r="A1266">
        <v>1265</v>
      </c>
      <c r="B1266" s="2">
        <v>382.75233648483436</v>
      </c>
    </row>
    <row r="1267" spans="1:2">
      <c r="A1267">
        <v>1266</v>
      </c>
      <c r="B1267" s="2">
        <v>356.80294801508614</v>
      </c>
    </row>
    <row r="1268" spans="1:2">
      <c r="A1268">
        <v>1267</v>
      </c>
      <c r="B1268" s="2">
        <v>297.46975388442604</v>
      </c>
    </row>
    <row r="1269" spans="1:2">
      <c r="A1269">
        <v>1268</v>
      </c>
      <c r="B1269" s="2">
        <v>373.01554159876343</v>
      </c>
    </row>
    <row r="1270" spans="1:2">
      <c r="A1270">
        <v>1269</v>
      </c>
      <c r="B1270" s="2">
        <v>213.4260541864351</v>
      </c>
    </row>
    <row r="1271" spans="1:2">
      <c r="A1271">
        <v>1270</v>
      </c>
      <c r="B1271" s="2">
        <v>231.43359819628915</v>
      </c>
    </row>
    <row r="1272" spans="1:2">
      <c r="A1272">
        <v>1271</v>
      </c>
      <c r="B1272" s="2">
        <v>208.77768634295902</v>
      </c>
    </row>
    <row r="1273" spans="1:2">
      <c r="A1273">
        <v>1272</v>
      </c>
      <c r="B1273" s="2">
        <v>332.61358059723523</v>
      </c>
    </row>
    <row r="1274" spans="1:2">
      <c r="A1274">
        <v>1273</v>
      </c>
      <c r="B1274" s="2">
        <v>484.69620146878202</v>
      </c>
    </row>
    <row r="1275" spans="1:2">
      <c r="A1275">
        <v>1274</v>
      </c>
      <c r="B1275" s="2">
        <v>392.24833442144211</v>
      </c>
    </row>
    <row r="1276" spans="1:2">
      <c r="A1276">
        <v>1275</v>
      </c>
      <c r="B1276" s="2">
        <v>478.3945544658896</v>
      </c>
    </row>
    <row r="1277" spans="1:2">
      <c r="A1277">
        <v>1276</v>
      </c>
      <c r="B1277" s="2">
        <v>269.64392067429787</v>
      </c>
    </row>
    <row r="1278" spans="1:2">
      <c r="A1278">
        <v>1277</v>
      </c>
      <c r="B1278" s="2">
        <v>458.20541335191859</v>
      </c>
    </row>
    <row r="1279" spans="1:2">
      <c r="A1279">
        <v>1278</v>
      </c>
      <c r="B1279" s="2">
        <v>391.41765195104807</v>
      </c>
    </row>
    <row r="1280" spans="1:2">
      <c r="A1280">
        <v>1279</v>
      </c>
      <c r="B1280" s="2">
        <v>357.69632594116712</v>
      </c>
    </row>
    <row r="1281" spans="1:2">
      <c r="A1281">
        <v>1280</v>
      </c>
      <c r="B1281" s="2">
        <v>402.19624572343747</v>
      </c>
    </row>
    <row r="1282" spans="1:2">
      <c r="A1282">
        <v>1281</v>
      </c>
      <c r="B1282" s="2">
        <v>240.68221761050498</v>
      </c>
    </row>
    <row r="1283" spans="1:2">
      <c r="A1283">
        <v>1282</v>
      </c>
      <c r="B1283" s="2">
        <v>236.39529872272172</v>
      </c>
    </row>
    <row r="1284" spans="1:2">
      <c r="A1284">
        <v>1283</v>
      </c>
      <c r="B1284" s="2">
        <v>302.84537067222453</v>
      </c>
    </row>
    <row r="1285" spans="1:2">
      <c r="A1285">
        <v>1284</v>
      </c>
      <c r="B1285" s="2">
        <v>331.05706850826471</v>
      </c>
    </row>
    <row r="1286" spans="1:2">
      <c r="A1286">
        <v>1285</v>
      </c>
      <c r="B1286" s="2">
        <v>410.48695454443248</v>
      </c>
    </row>
    <row r="1287" spans="1:2">
      <c r="A1287">
        <v>1286</v>
      </c>
      <c r="B1287" s="2">
        <v>261.30961388818713</v>
      </c>
    </row>
    <row r="1288" spans="1:2">
      <c r="A1288">
        <v>1287</v>
      </c>
      <c r="B1288" s="2">
        <v>363.40062174905313</v>
      </c>
    </row>
    <row r="1289" spans="1:2">
      <c r="A1289">
        <v>1288</v>
      </c>
      <c r="B1289" s="2">
        <v>396.16829328571214</v>
      </c>
    </row>
    <row r="1290" spans="1:2">
      <c r="A1290">
        <v>1289</v>
      </c>
      <c r="B1290" s="2">
        <v>368.22423180456946</v>
      </c>
    </row>
    <row r="1291" spans="1:2">
      <c r="A1291">
        <v>1290</v>
      </c>
      <c r="B1291" s="2">
        <v>448.73715882454877</v>
      </c>
    </row>
    <row r="1292" spans="1:2">
      <c r="A1292">
        <v>1291</v>
      </c>
      <c r="B1292" s="2">
        <v>378.00609395945594</v>
      </c>
    </row>
    <row r="1293" spans="1:2">
      <c r="A1293">
        <v>1292</v>
      </c>
      <c r="B1293" s="2">
        <v>291.19413483239543</v>
      </c>
    </row>
    <row r="1294" spans="1:2">
      <c r="A1294">
        <v>1293</v>
      </c>
      <c r="B1294" s="2">
        <v>318.37089542700494</v>
      </c>
    </row>
    <row r="1295" spans="1:2">
      <c r="A1295">
        <v>1294</v>
      </c>
      <c r="B1295" s="2">
        <v>370.23678708956015</v>
      </c>
    </row>
    <row r="1296" spans="1:2">
      <c r="A1296">
        <v>1295</v>
      </c>
      <c r="B1296" s="2">
        <v>328.45351383515407</v>
      </c>
    </row>
    <row r="1297" spans="1:2">
      <c r="A1297">
        <v>1296</v>
      </c>
      <c r="B1297" s="2">
        <v>290.08121331444914</v>
      </c>
    </row>
    <row r="1298" spans="1:2">
      <c r="A1298">
        <v>1297</v>
      </c>
      <c r="B1298" s="2">
        <v>345.42830315084944</v>
      </c>
    </row>
    <row r="1299" spans="1:2">
      <c r="A1299">
        <v>1298</v>
      </c>
      <c r="B1299" s="2">
        <v>394.84382377947759</v>
      </c>
    </row>
    <row r="1300" spans="1:2">
      <c r="A1300">
        <v>1299</v>
      </c>
      <c r="B1300" s="2">
        <v>340.61150195891162</v>
      </c>
    </row>
    <row r="1301" spans="1:2">
      <c r="A1301">
        <v>1300</v>
      </c>
      <c r="B1301" s="2">
        <v>294.5997006572594</v>
      </c>
    </row>
    <row r="1302" spans="1:2">
      <c r="A1302">
        <v>1301</v>
      </c>
      <c r="B1302" s="2">
        <v>342.71501238256371</v>
      </c>
    </row>
    <row r="1303" spans="1:2">
      <c r="A1303">
        <v>1302</v>
      </c>
      <c r="B1303" s="2">
        <v>358.91614293257749</v>
      </c>
    </row>
    <row r="1304" spans="1:2">
      <c r="A1304">
        <v>1303</v>
      </c>
      <c r="B1304" s="2">
        <v>243.80892160147545</v>
      </c>
    </row>
    <row r="1305" spans="1:2">
      <c r="A1305">
        <v>1304</v>
      </c>
      <c r="B1305" s="2">
        <v>420.75632846123051</v>
      </c>
    </row>
    <row r="1306" spans="1:2">
      <c r="A1306">
        <v>1305</v>
      </c>
      <c r="B1306" s="2">
        <v>299.0217064864238</v>
      </c>
    </row>
    <row r="1307" spans="1:2">
      <c r="A1307">
        <v>1306</v>
      </c>
      <c r="B1307" s="2">
        <v>256.22463372513567</v>
      </c>
    </row>
    <row r="1308" spans="1:2">
      <c r="A1308">
        <v>1307</v>
      </c>
      <c r="B1308" s="2">
        <v>339.15129209947452</v>
      </c>
    </row>
    <row r="1309" spans="1:2">
      <c r="A1309">
        <v>1308</v>
      </c>
      <c r="B1309" s="2">
        <v>360.94689885973116</v>
      </c>
    </row>
    <row r="1310" spans="1:2">
      <c r="A1310">
        <v>1309</v>
      </c>
      <c r="B1310" s="2">
        <v>311.72775072452572</v>
      </c>
    </row>
    <row r="1311" spans="1:2">
      <c r="A1311">
        <v>1310</v>
      </c>
      <c r="B1311" s="2">
        <v>389.78929073041564</v>
      </c>
    </row>
    <row r="1312" spans="1:2">
      <c r="A1312">
        <v>1311</v>
      </c>
      <c r="B1312" s="2">
        <v>432.95989650814454</v>
      </c>
    </row>
    <row r="1313" spans="1:2">
      <c r="A1313">
        <v>1312</v>
      </c>
      <c r="B1313" s="2">
        <v>350.43505031114279</v>
      </c>
    </row>
    <row r="1314" spans="1:2">
      <c r="A1314">
        <v>1313</v>
      </c>
      <c r="B1314" s="2">
        <v>379.53808846821295</v>
      </c>
    </row>
    <row r="1315" spans="1:2">
      <c r="A1315">
        <v>1314</v>
      </c>
      <c r="B1315" s="2">
        <v>287.66647737793573</v>
      </c>
    </row>
    <row r="1316" spans="1:2">
      <c r="A1316">
        <v>1315</v>
      </c>
      <c r="B1316" s="2">
        <v>462.03752252157301</v>
      </c>
    </row>
    <row r="1317" spans="1:2">
      <c r="A1317">
        <v>1316</v>
      </c>
      <c r="B1317" s="2">
        <v>409.30908379070274</v>
      </c>
    </row>
    <row r="1318" spans="1:2">
      <c r="A1318">
        <v>1317</v>
      </c>
      <c r="B1318" s="2">
        <v>247.4098412120174</v>
      </c>
    </row>
    <row r="1319" spans="1:2">
      <c r="A1319">
        <v>1318</v>
      </c>
      <c r="B1319" s="2">
        <v>321.80266427814388</v>
      </c>
    </row>
    <row r="1320" spans="1:2">
      <c r="A1320">
        <v>1319</v>
      </c>
      <c r="B1320" s="2">
        <v>307.72407865818565</v>
      </c>
    </row>
    <row r="1321" spans="1:2">
      <c r="A1321">
        <v>1320</v>
      </c>
      <c r="B1321" s="2">
        <v>282.89384070218637</v>
      </c>
    </row>
    <row r="1322" spans="1:2">
      <c r="A1322">
        <v>1321</v>
      </c>
      <c r="B1322" s="2">
        <v>234.38401563839324</v>
      </c>
    </row>
    <row r="1323" spans="1:2">
      <c r="A1323">
        <v>1322</v>
      </c>
      <c r="B1323" s="2">
        <v>257.42469556092749</v>
      </c>
    </row>
    <row r="1324" spans="1:2">
      <c r="A1324">
        <v>1323</v>
      </c>
      <c r="B1324" s="2">
        <v>334.69398493195143</v>
      </c>
    </row>
    <row r="1325" spans="1:2">
      <c r="A1325">
        <v>1324</v>
      </c>
      <c r="B1325" s="2">
        <v>364.70073266193958</v>
      </c>
    </row>
    <row r="1326" spans="1:2">
      <c r="A1326">
        <v>1325</v>
      </c>
      <c r="B1326" s="2">
        <v>424.20624263044471</v>
      </c>
    </row>
    <row r="1327" spans="1:2">
      <c r="A1327">
        <v>1326</v>
      </c>
      <c r="B1327" s="2">
        <v>451.81975149382743</v>
      </c>
    </row>
    <row r="1328" spans="1:2">
      <c r="A1328">
        <v>1327</v>
      </c>
      <c r="B1328" s="2">
        <v>434.88878902088538</v>
      </c>
    </row>
    <row r="1329" spans="1:2">
      <c r="A1329">
        <v>1328</v>
      </c>
      <c r="B1329" s="2">
        <v>333.47539211829394</v>
      </c>
    </row>
    <row r="1330" spans="1:2">
      <c r="A1330">
        <v>1329</v>
      </c>
      <c r="B1330" s="2">
        <v>521.34015492846902</v>
      </c>
    </row>
    <row r="1331" spans="1:2">
      <c r="A1331">
        <v>1330</v>
      </c>
      <c r="B1331" s="2">
        <v>448.68177782527596</v>
      </c>
    </row>
    <row r="1332" spans="1:2">
      <c r="A1332">
        <v>1331</v>
      </c>
      <c r="B1332" s="2">
        <v>236.96463933696339</v>
      </c>
    </row>
    <row r="1333" spans="1:2">
      <c r="A1333">
        <v>1332</v>
      </c>
      <c r="B1333" s="2">
        <v>313.3864595084487</v>
      </c>
    </row>
    <row r="1334" spans="1:2">
      <c r="A1334">
        <v>1333</v>
      </c>
      <c r="B1334" s="2">
        <v>301.54796358925284</v>
      </c>
    </row>
    <row r="1335" spans="1:2">
      <c r="A1335">
        <v>1334</v>
      </c>
      <c r="B1335" s="2">
        <v>334.30544055292597</v>
      </c>
    </row>
    <row r="1336" spans="1:2">
      <c r="A1336">
        <v>1335</v>
      </c>
      <c r="B1336" s="2">
        <v>255.36096350548689</v>
      </c>
    </row>
    <row r="1337" spans="1:2">
      <c r="A1337">
        <v>1336</v>
      </c>
      <c r="B1337" s="2">
        <v>350.30687993787126</v>
      </c>
    </row>
    <row r="1338" spans="1:2">
      <c r="A1338">
        <v>1337</v>
      </c>
      <c r="B1338" s="2">
        <v>231.89479967701709</v>
      </c>
    </row>
    <row r="1339" spans="1:2">
      <c r="A1339">
        <v>1338</v>
      </c>
      <c r="B1339" s="2">
        <v>422.21523351614019</v>
      </c>
    </row>
    <row r="1340" spans="1:2">
      <c r="A1340">
        <v>1339</v>
      </c>
      <c r="B1340" s="2">
        <v>438.17470095827787</v>
      </c>
    </row>
    <row r="1341" spans="1:2">
      <c r="A1341">
        <v>1340</v>
      </c>
      <c r="B1341" s="2">
        <v>481.99843316586077</v>
      </c>
    </row>
    <row r="1342" spans="1:2">
      <c r="A1342">
        <v>1341</v>
      </c>
      <c r="B1342" s="2">
        <v>293.68007755370263</v>
      </c>
    </row>
    <row r="1343" spans="1:2">
      <c r="A1343">
        <v>1342</v>
      </c>
      <c r="B1343" s="2">
        <v>295.67545544234895</v>
      </c>
    </row>
    <row r="1344" spans="1:2">
      <c r="A1344">
        <v>1343</v>
      </c>
      <c r="B1344" s="2">
        <v>388.59186221110883</v>
      </c>
    </row>
    <row r="1345" spans="1:2">
      <c r="A1345">
        <v>1344</v>
      </c>
      <c r="B1345" s="2">
        <v>232.53237822638761</v>
      </c>
    </row>
    <row r="1346" spans="1:2">
      <c r="A1346">
        <v>1345</v>
      </c>
      <c r="B1346" s="2">
        <v>332.55982933953021</v>
      </c>
    </row>
    <row r="1347" spans="1:2">
      <c r="A1347">
        <v>1346</v>
      </c>
      <c r="B1347" s="2">
        <v>248.14412992377589</v>
      </c>
    </row>
    <row r="1348" spans="1:2">
      <c r="A1348">
        <v>1347</v>
      </c>
      <c r="B1348" s="2">
        <v>275.17053637231913</v>
      </c>
    </row>
    <row r="1349" spans="1:2">
      <c r="A1349">
        <v>1348</v>
      </c>
      <c r="B1349" s="2">
        <v>339.58936878753104</v>
      </c>
    </row>
    <row r="1350" spans="1:2">
      <c r="A1350">
        <v>1349</v>
      </c>
      <c r="B1350" s="2">
        <v>294.93811382445244</v>
      </c>
    </row>
    <row r="1351" spans="1:2">
      <c r="A1351">
        <v>1350</v>
      </c>
      <c r="B1351" s="2">
        <v>455.43928735762574</v>
      </c>
    </row>
    <row r="1352" spans="1:2">
      <c r="A1352">
        <v>1351</v>
      </c>
      <c r="B1352" s="2">
        <v>339.95600724354517</v>
      </c>
    </row>
    <row r="1353" spans="1:2">
      <c r="A1353">
        <v>1352</v>
      </c>
      <c r="B1353" s="2">
        <v>298.48113629644394</v>
      </c>
    </row>
    <row r="1354" spans="1:2">
      <c r="A1354">
        <v>1353</v>
      </c>
      <c r="B1354" s="2">
        <v>339.99008669151362</v>
      </c>
    </row>
    <row r="1355" spans="1:2">
      <c r="A1355">
        <v>1354</v>
      </c>
      <c r="B1355" s="2">
        <v>264.35895541961418</v>
      </c>
    </row>
    <row r="1356" spans="1:2">
      <c r="A1356">
        <v>1355</v>
      </c>
      <c r="B1356" s="2">
        <v>517.74824628420811</v>
      </c>
    </row>
    <row r="1357" spans="1:2">
      <c r="A1357">
        <v>1356</v>
      </c>
      <c r="B1357" s="2">
        <v>225.38440810612582</v>
      </c>
    </row>
    <row r="1358" spans="1:2">
      <c r="A1358">
        <v>1357</v>
      </c>
      <c r="B1358" s="2">
        <v>301.69146545771423</v>
      </c>
    </row>
    <row r="1359" spans="1:2">
      <c r="A1359">
        <v>1358</v>
      </c>
      <c r="B1359" s="2">
        <v>301.75167489416572</v>
      </c>
    </row>
    <row r="1360" spans="1:2">
      <c r="A1360">
        <v>1359</v>
      </c>
      <c r="B1360" s="2">
        <v>360.30441988195503</v>
      </c>
    </row>
    <row r="1361" spans="1:2">
      <c r="A1361">
        <v>1360</v>
      </c>
      <c r="B1361" s="2">
        <v>334.02791626875728</v>
      </c>
    </row>
    <row r="1362" spans="1:2">
      <c r="A1362">
        <v>1361</v>
      </c>
      <c r="B1362" s="2">
        <v>286.68651680615449</v>
      </c>
    </row>
    <row r="1363" spans="1:2">
      <c r="A1363">
        <v>1362</v>
      </c>
      <c r="B1363" s="2">
        <v>362.37392416830903</v>
      </c>
    </row>
    <row r="1364" spans="1:2">
      <c r="A1364">
        <v>1363</v>
      </c>
      <c r="B1364" s="2">
        <v>278.77314603464851</v>
      </c>
    </row>
    <row r="1365" spans="1:2">
      <c r="A1365">
        <v>1364</v>
      </c>
      <c r="B1365" s="2">
        <v>448.16934271711096</v>
      </c>
    </row>
    <row r="1366" spans="1:2">
      <c r="A1366">
        <v>1365</v>
      </c>
      <c r="B1366" s="2">
        <v>426.35306824969473</v>
      </c>
    </row>
    <row r="1367" spans="1:2">
      <c r="A1367">
        <v>1366</v>
      </c>
      <c r="B1367" s="2">
        <v>367.99071054086278</v>
      </c>
    </row>
    <row r="1368" spans="1:2">
      <c r="A1368">
        <v>1367</v>
      </c>
      <c r="B1368" s="2">
        <v>427.36501488235621</v>
      </c>
    </row>
    <row r="1369" spans="1:2">
      <c r="A1369">
        <v>1368</v>
      </c>
      <c r="B1369" s="2">
        <v>342.56478172212383</v>
      </c>
    </row>
    <row r="1370" spans="1:2">
      <c r="A1370">
        <v>1369</v>
      </c>
      <c r="B1370" s="2">
        <v>383.37769678091252</v>
      </c>
    </row>
    <row r="1371" spans="1:2">
      <c r="A1371">
        <v>1370</v>
      </c>
      <c r="B1371" s="2">
        <v>263.70435510014954</v>
      </c>
    </row>
    <row r="1372" spans="1:2">
      <c r="A1372">
        <v>1371</v>
      </c>
      <c r="B1372" s="2">
        <v>334.40879464027978</v>
      </c>
    </row>
    <row r="1373" spans="1:2">
      <c r="A1373">
        <v>1372</v>
      </c>
      <c r="B1373" s="2">
        <v>419.5643672611414</v>
      </c>
    </row>
    <row r="1374" spans="1:2">
      <c r="A1374">
        <v>1373</v>
      </c>
      <c r="B1374" s="2">
        <v>333.55952498645775</v>
      </c>
    </row>
    <row r="1375" spans="1:2">
      <c r="A1375">
        <v>1374</v>
      </c>
      <c r="B1375" s="2">
        <v>250.64236270796621</v>
      </c>
    </row>
    <row r="1376" spans="1:2">
      <c r="A1376">
        <v>1375</v>
      </c>
      <c r="B1376" s="2">
        <v>325.81711426117943</v>
      </c>
    </row>
    <row r="1377" spans="1:2">
      <c r="A1377">
        <v>1376</v>
      </c>
      <c r="B1377" s="2">
        <v>375.97672406737246</v>
      </c>
    </row>
    <row r="1378" spans="1:2">
      <c r="A1378">
        <v>1377</v>
      </c>
      <c r="B1378" s="2">
        <v>267.87799108099188</v>
      </c>
    </row>
    <row r="1379" spans="1:2">
      <c r="A1379">
        <v>1378</v>
      </c>
      <c r="B1379" s="2">
        <v>375.49141936145855</v>
      </c>
    </row>
    <row r="1380" spans="1:2">
      <c r="A1380">
        <v>1379</v>
      </c>
      <c r="B1380" s="2">
        <v>303.16735259348593</v>
      </c>
    </row>
    <row r="1381" spans="1:2">
      <c r="A1381">
        <v>1380</v>
      </c>
      <c r="B1381" s="2">
        <v>364.14998666887709</v>
      </c>
    </row>
    <row r="1382" spans="1:2">
      <c r="A1382">
        <v>1381</v>
      </c>
      <c r="B1382" s="2">
        <v>492.79031131837792</v>
      </c>
    </row>
    <row r="1383" spans="1:2">
      <c r="A1383">
        <v>1382</v>
      </c>
      <c r="B1383" s="2">
        <v>315.42959318464267</v>
      </c>
    </row>
    <row r="1384" spans="1:2">
      <c r="A1384">
        <v>1383</v>
      </c>
      <c r="B1384" s="2">
        <v>180.27193956259828</v>
      </c>
    </row>
    <row r="1385" spans="1:2">
      <c r="A1385">
        <v>1384</v>
      </c>
      <c r="B1385" s="2">
        <v>381.09486948641228</v>
      </c>
    </row>
    <row r="1386" spans="1:2">
      <c r="A1386">
        <v>1385</v>
      </c>
      <c r="B1386" s="2">
        <v>269.01844510856358</v>
      </c>
    </row>
    <row r="1387" spans="1:2">
      <c r="A1387">
        <v>1386</v>
      </c>
      <c r="B1387" s="2">
        <v>422.2231704439987</v>
      </c>
    </row>
    <row r="1388" spans="1:2">
      <c r="A1388">
        <v>1387</v>
      </c>
      <c r="B1388" s="2">
        <v>441.56697621179626</v>
      </c>
    </row>
    <row r="1389" spans="1:2">
      <c r="A1389">
        <v>1388</v>
      </c>
      <c r="B1389" s="2">
        <v>290.03941814281143</v>
      </c>
    </row>
    <row r="1390" spans="1:2">
      <c r="A1390">
        <v>1389</v>
      </c>
      <c r="B1390" s="2">
        <v>347.51195704869906</v>
      </c>
    </row>
    <row r="1391" spans="1:2">
      <c r="A1391">
        <v>1390</v>
      </c>
      <c r="B1391" s="2">
        <v>505.06778366855156</v>
      </c>
    </row>
    <row r="1392" spans="1:2">
      <c r="A1392">
        <v>1391</v>
      </c>
      <c r="B1392" s="2">
        <v>371.65074972436923</v>
      </c>
    </row>
    <row r="1393" spans="1:2">
      <c r="A1393">
        <v>1392</v>
      </c>
      <c r="B1393" s="2">
        <v>432.86616750477214</v>
      </c>
    </row>
    <row r="1394" spans="1:2">
      <c r="A1394">
        <v>1393</v>
      </c>
      <c r="B1394" s="2">
        <v>253.02323556513358</v>
      </c>
    </row>
    <row r="1395" spans="1:2">
      <c r="A1395">
        <v>1394</v>
      </c>
      <c r="B1395" s="2">
        <v>396.17106826541414</v>
      </c>
    </row>
    <row r="1396" spans="1:2">
      <c r="A1396">
        <v>1395</v>
      </c>
      <c r="B1396" s="2">
        <v>498.53306442015696</v>
      </c>
    </row>
    <row r="1397" spans="1:2">
      <c r="A1397">
        <v>1396</v>
      </c>
      <c r="B1397" s="2">
        <v>343.83550928637032</v>
      </c>
    </row>
    <row r="1398" spans="1:2">
      <c r="A1398">
        <v>1397</v>
      </c>
      <c r="B1398" s="2">
        <v>313.78729036932401</v>
      </c>
    </row>
    <row r="1399" spans="1:2">
      <c r="A1399">
        <v>1398</v>
      </c>
      <c r="B1399" s="2">
        <v>252.74497815870802</v>
      </c>
    </row>
    <row r="1400" spans="1:2">
      <c r="A1400">
        <v>1399</v>
      </c>
      <c r="B1400" s="2">
        <v>240.11371412960006</v>
      </c>
    </row>
    <row r="1401" spans="1:2">
      <c r="A1401">
        <v>1400</v>
      </c>
      <c r="B1401" s="2">
        <v>224.95858353680927</v>
      </c>
    </row>
    <row r="1402" spans="1:2">
      <c r="A1402">
        <v>1401</v>
      </c>
      <c r="B1402" s="2">
        <v>173.97053066683824</v>
      </c>
    </row>
    <row r="1403" spans="1:2">
      <c r="A1403">
        <v>1402</v>
      </c>
      <c r="B1403" s="2">
        <v>376.01244619979201</v>
      </c>
    </row>
    <row r="1404" spans="1:2">
      <c r="A1404">
        <v>1403</v>
      </c>
      <c r="B1404" s="2">
        <v>337.75691432235624</v>
      </c>
    </row>
    <row r="1405" spans="1:2">
      <c r="A1405">
        <v>1404</v>
      </c>
      <c r="B1405" s="2">
        <v>317.01568406893637</v>
      </c>
    </row>
    <row r="1406" spans="1:2">
      <c r="A1406">
        <v>1405</v>
      </c>
      <c r="B1406" s="2">
        <v>364.40172196448987</v>
      </c>
    </row>
    <row r="1407" spans="1:2">
      <c r="A1407">
        <v>1406</v>
      </c>
      <c r="B1407" s="2">
        <v>373.63034516757352</v>
      </c>
    </row>
    <row r="1408" spans="1:2">
      <c r="A1408">
        <v>1407</v>
      </c>
      <c r="B1408" s="2">
        <v>314.64340747764862</v>
      </c>
    </row>
    <row r="1409" spans="1:2">
      <c r="A1409">
        <v>1408</v>
      </c>
      <c r="B1409" s="2">
        <v>239.43476359296105</v>
      </c>
    </row>
    <row r="1410" spans="1:2">
      <c r="A1410">
        <v>1409</v>
      </c>
      <c r="B1410" s="2">
        <v>296.77608341076268</v>
      </c>
    </row>
    <row r="1411" spans="1:2">
      <c r="A1411">
        <v>1410</v>
      </c>
      <c r="B1411" s="2">
        <v>279.22339392689668</v>
      </c>
    </row>
    <row r="1412" spans="1:2">
      <c r="A1412">
        <v>1411</v>
      </c>
      <c r="B1412" s="2">
        <v>367.32598842016466</v>
      </c>
    </row>
    <row r="1413" spans="1:2">
      <c r="A1413">
        <v>1412</v>
      </c>
      <c r="B1413" s="2">
        <v>435.42197282371569</v>
      </c>
    </row>
    <row r="1414" spans="1:2">
      <c r="A1414">
        <v>1413</v>
      </c>
      <c r="B1414" s="2">
        <v>575.41557460694685</v>
      </c>
    </row>
    <row r="1415" spans="1:2">
      <c r="A1415">
        <v>1414</v>
      </c>
      <c r="B1415" s="2">
        <v>391.85771761201545</v>
      </c>
    </row>
    <row r="1416" spans="1:2">
      <c r="A1416">
        <v>1415</v>
      </c>
      <c r="B1416" s="2">
        <v>298.94796316692754</v>
      </c>
    </row>
    <row r="1417" spans="1:2">
      <c r="A1417">
        <v>1416</v>
      </c>
      <c r="B1417" s="2">
        <v>267.48471560765273</v>
      </c>
    </row>
    <row r="1418" spans="1:2">
      <c r="A1418">
        <v>1417</v>
      </c>
      <c r="B1418" s="2">
        <v>527.29058810179868</v>
      </c>
    </row>
    <row r="1419" spans="1:2">
      <c r="A1419">
        <v>1418</v>
      </c>
      <c r="B1419" s="2">
        <v>306.32702014913616</v>
      </c>
    </row>
    <row r="1420" spans="1:2">
      <c r="A1420">
        <v>1419</v>
      </c>
      <c r="B1420" s="2">
        <v>345.47732013576223</v>
      </c>
    </row>
    <row r="1421" spans="1:2">
      <c r="A1421">
        <v>1420</v>
      </c>
      <c r="B1421" s="2">
        <v>425.645576318753</v>
      </c>
    </row>
    <row r="1422" spans="1:2">
      <c r="A1422">
        <v>1421</v>
      </c>
      <c r="B1422" s="2">
        <v>146.54290710032808</v>
      </c>
    </row>
    <row r="1423" spans="1:2">
      <c r="A1423">
        <v>1422</v>
      </c>
      <c r="B1423" s="2">
        <v>256.17775006817095</v>
      </c>
    </row>
    <row r="1424" spans="1:2">
      <c r="A1424">
        <v>1423</v>
      </c>
      <c r="B1424" s="2">
        <v>334.35161627686705</v>
      </c>
    </row>
    <row r="1425" spans="1:2">
      <c r="A1425">
        <v>1424</v>
      </c>
      <c r="B1425" s="2">
        <v>202.05097072969056</v>
      </c>
    </row>
    <row r="1426" spans="1:2">
      <c r="A1426">
        <v>1425</v>
      </c>
      <c r="B1426" s="2">
        <v>409.41978252688062</v>
      </c>
    </row>
    <row r="1427" spans="1:2">
      <c r="A1427">
        <v>1426</v>
      </c>
      <c r="B1427" s="2">
        <v>404.94169409901167</v>
      </c>
    </row>
    <row r="1428" spans="1:2">
      <c r="A1428">
        <v>1427</v>
      </c>
      <c r="B1428" s="2">
        <v>319.03774405049535</v>
      </c>
    </row>
    <row r="1429" spans="1:2">
      <c r="A1429">
        <v>1428</v>
      </c>
      <c r="B1429" s="2">
        <v>387.59252620240426</v>
      </c>
    </row>
    <row r="1430" spans="1:2">
      <c r="A1430">
        <v>1429</v>
      </c>
      <c r="B1430" s="2">
        <v>403.11337832325307</v>
      </c>
    </row>
    <row r="1431" spans="1:2">
      <c r="A1431">
        <v>1430</v>
      </c>
      <c r="B1431" s="2">
        <v>370.09914408802348</v>
      </c>
    </row>
    <row r="1432" spans="1:2">
      <c r="A1432">
        <v>1431</v>
      </c>
      <c r="B1432" s="2">
        <v>313.52534455433602</v>
      </c>
    </row>
    <row r="1433" spans="1:2">
      <c r="A1433">
        <v>1432</v>
      </c>
      <c r="B1433" s="2">
        <v>283.23711110898222</v>
      </c>
    </row>
    <row r="1434" spans="1:2">
      <c r="A1434">
        <v>1433</v>
      </c>
      <c r="B1434" s="2">
        <v>479.46236561494266</v>
      </c>
    </row>
    <row r="1435" spans="1:2">
      <c r="A1435">
        <v>1434</v>
      </c>
      <c r="B1435" s="2">
        <v>293.68625876332624</v>
      </c>
    </row>
    <row r="1436" spans="1:2">
      <c r="A1436">
        <v>1435</v>
      </c>
      <c r="B1436" s="2">
        <v>269.27448485727166</v>
      </c>
    </row>
    <row r="1437" spans="1:2">
      <c r="A1437">
        <v>1436</v>
      </c>
      <c r="B1437" s="2">
        <v>272.01259732868914</v>
      </c>
    </row>
    <row r="1438" spans="1:2">
      <c r="A1438">
        <v>1437</v>
      </c>
      <c r="B1438" s="2">
        <v>333.98632241964322</v>
      </c>
    </row>
    <row r="1439" spans="1:2">
      <c r="A1439">
        <v>1438</v>
      </c>
      <c r="B1439" s="2">
        <v>360.98152565806583</v>
      </c>
    </row>
    <row r="1440" spans="1:2">
      <c r="A1440">
        <v>1439</v>
      </c>
      <c r="B1440" s="2">
        <v>304.00159114945927</v>
      </c>
    </row>
    <row r="1441" spans="1:2">
      <c r="A1441">
        <v>1440</v>
      </c>
      <c r="B1441" s="2">
        <v>289.28195258743347</v>
      </c>
    </row>
    <row r="1442" spans="1:2">
      <c r="A1442">
        <v>1441</v>
      </c>
      <c r="B1442" s="2">
        <v>324.34835666079198</v>
      </c>
    </row>
    <row r="1443" spans="1:2">
      <c r="A1443">
        <v>1442</v>
      </c>
      <c r="B1443" s="2">
        <v>229.93584995023105</v>
      </c>
    </row>
    <row r="1444" spans="1:2">
      <c r="A1444">
        <v>1443</v>
      </c>
      <c r="B1444" s="2">
        <v>326.73401147397072</v>
      </c>
    </row>
    <row r="1445" spans="1:2">
      <c r="A1445">
        <v>1444</v>
      </c>
      <c r="B1445" s="2">
        <v>408.48055140882479</v>
      </c>
    </row>
    <row r="1446" spans="1:2">
      <c r="A1446">
        <v>1445</v>
      </c>
      <c r="B1446" s="2">
        <v>298.90351148476168</v>
      </c>
    </row>
    <row r="1447" spans="1:2">
      <c r="A1447">
        <v>1446</v>
      </c>
      <c r="B1447" s="2">
        <v>284.97806268276253</v>
      </c>
    </row>
    <row r="1448" spans="1:2">
      <c r="A1448">
        <v>1447</v>
      </c>
      <c r="B1448" s="2">
        <v>300.81214916041597</v>
      </c>
    </row>
    <row r="1449" spans="1:2">
      <c r="A1449">
        <v>1448</v>
      </c>
      <c r="B1449" s="2">
        <v>334.26658274618802</v>
      </c>
    </row>
    <row r="1450" spans="1:2">
      <c r="A1450">
        <v>1449</v>
      </c>
      <c r="B1450" s="2">
        <v>359.49470628260406</v>
      </c>
    </row>
    <row r="1451" spans="1:2">
      <c r="A1451">
        <v>1450</v>
      </c>
      <c r="B1451" s="2">
        <v>442.7843448379038</v>
      </c>
    </row>
    <row r="1452" spans="1:2">
      <c r="A1452">
        <v>1451</v>
      </c>
      <c r="B1452" s="2">
        <v>467.56157163665995</v>
      </c>
    </row>
    <row r="1453" spans="1:2">
      <c r="A1453">
        <v>1452</v>
      </c>
      <c r="B1453" s="2">
        <v>355.69748354810019</v>
      </c>
    </row>
    <row r="1454" spans="1:2">
      <c r="A1454">
        <v>1453</v>
      </c>
      <c r="B1454" s="2">
        <v>328.32382377958896</v>
      </c>
    </row>
    <row r="1455" spans="1:2">
      <c r="A1455">
        <v>1454</v>
      </c>
      <c r="B1455" s="2">
        <v>293.23895073301094</v>
      </c>
    </row>
    <row r="1456" spans="1:2">
      <c r="A1456">
        <v>1455</v>
      </c>
      <c r="B1456" s="2">
        <v>375.50841659402198</v>
      </c>
    </row>
    <row r="1457" spans="1:2">
      <c r="A1457">
        <v>1456</v>
      </c>
      <c r="B1457" s="2">
        <v>428.01524559309325</v>
      </c>
    </row>
    <row r="1458" spans="1:2">
      <c r="A1458">
        <v>1457</v>
      </c>
      <c r="B1458" s="2">
        <v>374.98546235200956</v>
      </c>
    </row>
    <row r="1459" spans="1:2">
      <c r="A1459">
        <v>1458</v>
      </c>
      <c r="B1459" s="2">
        <v>294.46877023045715</v>
      </c>
    </row>
    <row r="1460" spans="1:2">
      <c r="A1460">
        <v>1459</v>
      </c>
      <c r="B1460" s="2">
        <v>420.49156436768578</v>
      </c>
    </row>
    <row r="1461" spans="1:2">
      <c r="A1461">
        <v>1460</v>
      </c>
      <c r="B1461" s="2">
        <v>246.06836269585887</v>
      </c>
    </row>
    <row r="1462" spans="1:2">
      <c r="A1462">
        <v>1461</v>
      </c>
      <c r="B1462" s="2">
        <v>349.16188922691731</v>
      </c>
    </row>
    <row r="1463" spans="1:2">
      <c r="A1463">
        <v>1462</v>
      </c>
      <c r="B1463" s="2">
        <v>212.92037317550532</v>
      </c>
    </row>
    <row r="1464" spans="1:2">
      <c r="A1464">
        <v>1463</v>
      </c>
      <c r="B1464" s="2">
        <v>384.15187603883294</v>
      </c>
    </row>
    <row r="1465" spans="1:2">
      <c r="A1465">
        <v>1464</v>
      </c>
      <c r="B1465" s="2">
        <v>358.93010878532203</v>
      </c>
    </row>
    <row r="1466" spans="1:2">
      <c r="A1466">
        <v>1465</v>
      </c>
      <c r="B1466" s="2">
        <v>254.82235040233729</v>
      </c>
    </row>
    <row r="1467" spans="1:2">
      <c r="A1467">
        <v>1466</v>
      </c>
      <c r="B1467" s="2">
        <v>501.00200292059935</v>
      </c>
    </row>
    <row r="1468" spans="1:2">
      <c r="A1468">
        <v>1467</v>
      </c>
      <c r="B1468" s="2">
        <v>462.48702578830694</v>
      </c>
    </row>
    <row r="1469" spans="1:2">
      <c r="A1469">
        <v>1468</v>
      </c>
      <c r="B1469" s="2">
        <v>337.2266907266777</v>
      </c>
    </row>
    <row r="1470" spans="1:2">
      <c r="A1470">
        <v>1469</v>
      </c>
      <c r="B1470" s="2">
        <v>390.90901529935303</v>
      </c>
    </row>
    <row r="1471" spans="1:2">
      <c r="A1471">
        <v>1470</v>
      </c>
      <c r="B1471" s="2">
        <v>349.67378408288465</v>
      </c>
    </row>
    <row r="1472" spans="1:2">
      <c r="A1472">
        <v>1471</v>
      </c>
      <c r="B1472" s="2">
        <v>433.7447226945572</v>
      </c>
    </row>
    <row r="1473" spans="1:2">
      <c r="A1473">
        <v>1472</v>
      </c>
      <c r="B1473" s="2">
        <v>303.62422462045333</v>
      </c>
    </row>
    <row r="1474" spans="1:2">
      <c r="A1474">
        <v>1473</v>
      </c>
      <c r="B1474" s="2">
        <v>433.54996598123137</v>
      </c>
    </row>
    <row r="1475" spans="1:2">
      <c r="A1475">
        <v>1474</v>
      </c>
      <c r="B1475" s="2">
        <v>475.09445487261149</v>
      </c>
    </row>
    <row r="1476" spans="1:2">
      <c r="A1476">
        <v>1475</v>
      </c>
      <c r="B1476" s="2">
        <v>187.36505125713018</v>
      </c>
    </row>
    <row r="1477" spans="1:2">
      <c r="A1477">
        <v>1476</v>
      </c>
      <c r="B1477" s="2">
        <v>261.35955413475779</v>
      </c>
    </row>
    <row r="1478" spans="1:2">
      <c r="A1478">
        <v>1477</v>
      </c>
      <c r="B1478" s="2">
        <v>310.95722029617048</v>
      </c>
    </row>
    <row r="1479" spans="1:2">
      <c r="A1479">
        <v>1478</v>
      </c>
      <c r="B1479" s="2">
        <v>344.53316354673007</v>
      </c>
    </row>
    <row r="1480" spans="1:2">
      <c r="A1480">
        <v>1479</v>
      </c>
      <c r="B1480" s="2">
        <v>321.77156904423293</v>
      </c>
    </row>
    <row r="1481" spans="1:2">
      <c r="A1481">
        <v>1480</v>
      </c>
      <c r="B1481" s="2">
        <v>358.00303971274064</v>
      </c>
    </row>
    <row r="1482" spans="1:2">
      <c r="A1482">
        <v>1481</v>
      </c>
      <c r="B1482" s="2">
        <v>316.72473166212495</v>
      </c>
    </row>
    <row r="1483" spans="1:2">
      <c r="A1483">
        <v>1482</v>
      </c>
      <c r="B1483" s="2">
        <v>365.07442933233847</v>
      </c>
    </row>
    <row r="1484" spans="1:2">
      <c r="A1484">
        <v>1483</v>
      </c>
      <c r="B1484" s="2">
        <v>356.36441430225489</v>
      </c>
    </row>
    <row r="1485" spans="1:2">
      <c r="A1485">
        <v>1484</v>
      </c>
      <c r="B1485" s="2">
        <v>345.1070385168174</v>
      </c>
    </row>
    <row r="1486" spans="1:2">
      <c r="A1486">
        <v>1485</v>
      </c>
      <c r="B1486" s="2">
        <v>391.48777953779927</v>
      </c>
    </row>
    <row r="1487" spans="1:2">
      <c r="A1487">
        <v>1486</v>
      </c>
      <c r="B1487" s="2">
        <v>275.50266269230951</v>
      </c>
    </row>
    <row r="1488" spans="1:2">
      <c r="A1488">
        <v>1487</v>
      </c>
      <c r="B1488" s="2">
        <v>355.899708528529</v>
      </c>
    </row>
    <row r="1489" spans="1:2">
      <c r="A1489">
        <v>1488</v>
      </c>
      <c r="B1489" s="2">
        <v>331.60214164489963</v>
      </c>
    </row>
    <row r="1490" spans="1:2">
      <c r="A1490">
        <v>1489</v>
      </c>
      <c r="B1490" s="2">
        <v>291.44140766280543</v>
      </c>
    </row>
    <row r="1491" spans="1:2">
      <c r="A1491">
        <v>1490</v>
      </c>
      <c r="B1491" s="2">
        <v>381.66185542194916</v>
      </c>
    </row>
    <row r="1492" spans="1:2">
      <c r="A1492">
        <v>1491</v>
      </c>
      <c r="B1492" s="2">
        <v>366.00862469406894</v>
      </c>
    </row>
    <row r="1493" spans="1:2">
      <c r="A1493">
        <v>1492</v>
      </c>
      <c r="B1493" s="2">
        <v>319.63611647882811</v>
      </c>
    </row>
    <row r="1494" spans="1:2">
      <c r="A1494">
        <v>1493</v>
      </c>
      <c r="B1494" s="2">
        <v>292.97383338963118</v>
      </c>
    </row>
    <row r="1495" spans="1:2">
      <c r="A1495">
        <v>1494</v>
      </c>
      <c r="B1495" s="2">
        <v>295.22916471360554</v>
      </c>
    </row>
    <row r="1496" spans="1:2">
      <c r="A1496">
        <v>1495</v>
      </c>
      <c r="B1496" s="2">
        <v>424.78871703614857</v>
      </c>
    </row>
    <row r="1497" spans="1:2">
      <c r="A1497">
        <v>1496</v>
      </c>
      <c r="B1497" s="2">
        <v>348.61560391634845</v>
      </c>
    </row>
    <row r="1498" spans="1:2">
      <c r="A1498">
        <v>1497</v>
      </c>
      <c r="B1498" s="2">
        <v>309.49109534923917</v>
      </c>
    </row>
    <row r="1499" spans="1:2">
      <c r="A1499">
        <v>1498</v>
      </c>
      <c r="B1499" s="2">
        <v>245.72452107033527</v>
      </c>
    </row>
    <row r="1500" spans="1:2">
      <c r="A1500">
        <v>1499</v>
      </c>
      <c r="B1500" s="2">
        <v>288.11734189263427</v>
      </c>
    </row>
    <row r="1501" spans="1:2">
      <c r="A1501">
        <v>1500</v>
      </c>
      <c r="B1501" s="2">
        <v>294.01623625404773</v>
      </c>
    </row>
    <row r="1502" spans="1:2">
      <c r="A1502">
        <v>1501</v>
      </c>
      <c r="B1502" s="2">
        <v>324.72271274576417</v>
      </c>
    </row>
    <row r="1503" spans="1:2">
      <c r="A1503">
        <v>1502</v>
      </c>
      <c r="B1503" s="2">
        <v>312.46978723472557</v>
      </c>
    </row>
    <row r="1504" spans="1:2">
      <c r="A1504">
        <v>1503</v>
      </c>
      <c r="B1504" s="2">
        <v>330.09197921620427</v>
      </c>
    </row>
    <row r="1505" spans="1:2">
      <c r="A1505">
        <v>1504</v>
      </c>
      <c r="B1505" s="2">
        <v>162.8171218867937</v>
      </c>
    </row>
    <row r="1506" spans="1:2">
      <c r="A1506">
        <v>1505</v>
      </c>
      <c r="B1506" s="2">
        <v>355.78652356046791</v>
      </c>
    </row>
    <row r="1507" spans="1:2">
      <c r="A1507">
        <v>1506</v>
      </c>
      <c r="B1507" s="2">
        <v>265.90874621802141</v>
      </c>
    </row>
    <row r="1508" spans="1:2">
      <c r="A1508">
        <v>1507</v>
      </c>
      <c r="B1508" s="2">
        <v>370.87280236147592</v>
      </c>
    </row>
    <row r="1509" spans="1:2">
      <c r="A1509">
        <v>1508</v>
      </c>
      <c r="B1509" s="2">
        <v>324.40192474714473</v>
      </c>
    </row>
    <row r="1510" spans="1:2">
      <c r="A1510">
        <v>1509</v>
      </c>
      <c r="B1510" s="2">
        <v>351.51639346245111</v>
      </c>
    </row>
    <row r="1511" spans="1:2">
      <c r="A1511">
        <v>1510</v>
      </c>
      <c r="B1511" s="2">
        <v>347.50761016887645</v>
      </c>
    </row>
    <row r="1512" spans="1:2">
      <c r="A1512">
        <v>1511</v>
      </c>
      <c r="B1512" s="2">
        <v>296.2117034658919</v>
      </c>
    </row>
    <row r="1513" spans="1:2">
      <c r="A1513">
        <v>1512</v>
      </c>
      <c r="B1513" s="2">
        <v>204.93489922529579</v>
      </c>
    </row>
    <row r="1514" spans="1:2">
      <c r="A1514">
        <v>1513</v>
      </c>
      <c r="B1514" s="2">
        <v>241.4630590490238</v>
      </c>
    </row>
    <row r="1515" spans="1:2">
      <c r="A1515">
        <v>1514</v>
      </c>
      <c r="B1515" s="2">
        <v>333.76970230582492</v>
      </c>
    </row>
    <row r="1516" spans="1:2">
      <c r="A1516">
        <v>1515</v>
      </c>
      <c r="B1516" s="2">
        <v>398.6179241268822</v>
      </c>
    </row>
    <row r="1517" spans="1:2">
      <c r="A1517">
        <v>1516</v>
      </c>
      <c r="B1517" s="2">
        <v>369.30951056432627</v>
      </c>
    </row>
    <row r="1518" spans="1:2">
      <c r="A1518">
        <v>1517</v>
      </c>
      <c r="B1518" s="2">
        <v>252.98258205310606</v>
      </c>
    </row>
    <row r="1519" spans="1:2">
      <c r="A1519">
        <v>1518</v>
      </c>
      <c r="B1519" s="2">
        <v>351.16412313905994</v>
      </c>
    </row>
    <row r="1520" spans="1:2">
      <c r="A1520">
        <v>1519</v>
      </c>
      <c r="B1520" s="2">
        <v>406.15572460561907</v>
      </c>
    </row>
    <row r="1521" spans="1:2">
      <c r="A1521">
        <v>1520</v>
      </c>
      <c r="B1521" s="2">
        <v>258.42998122994811</v>
      </c>
    </row>
    <row r="1522" spans="1:2">
      <c r="A1522">
        <v>1521</v>
      </c>
      <c r="B1522" s="2">
        <v>307.88675710639194</v>
      </c>
    </row>
    <row r="1523" spans="1:2">
      <c r="A1523">
        <v>1522</v>
      </c>
      <c r="B1523" s="2">
        <v>245.11780272065255</v>
      </c>
    </row>
    <row r="1524" spans="1:2">
      <c r="A1524">
        <v>1523</v>
      </c>
      <c r="B1524" s="2">
        <v>400.62449983200457</v>
      </c>
    </row>
    <row r="1525" spans="1:2">
      <c r="A1525">
        <v>1524</v>
      </c>
      <c r="B1525" s="2">
        <v>388.02961703005815</v>
      </c>
    </row>
    <row r="1526" spans="1:2">
      <c r="A1526">
        <v>1525</v>
      </c>
      <c r="B1526" s="2">
        <v>422.69908738304082</v>
      </c>
    </row>
    <row r="1527" spans="1:2">
      <c r="A1527">
        <v>1526</v>
      </c>
      <c r="B1527" s="2">
        <v>302.24568362623188</v>
      </c>
    </row>
    <row r="1528" spans="1:2">
      <c r="A1528">
        <v>1527</v>
      </c>
      <c r="B1528" s="2">
        <v>459.24287189881096</v>
      </c>
    </row>
    <row r="1529" spans="1:2">
      <c r="A1529">
        <v>1528</v>
      </c>
      <c r="B1529" s="2">
        <v>196.09606340414086</v>
      </c>
    </row>
    <row r="1530" spans="1:2">
      <c r="A1530">
        <v>1529</v>
      </c>
      <c r="B1530" s="2">
        <v>396.09494469049633</v>
      </c>
    </row>
    <row r="1531" spans="1:2">
      <c r="A1531">
        <v>1530</v>
      </c>
      <c r="B1531" s="2">
        <v>382.73446022530413</v>
      </c>
    </row>
    <row r="1532" spans="1:2">
      <c r="A1532">
        <v>1531</v>
      </c>
      <c r="B1532" s="2">
        <v>332.3072946056011</v>
      </c>
    </row>
    <row r="1533" spans="1:2">
      <c r="A1533">
        <v>1532</v>
      </c>
      <c r="B1533" s="2">
        <v>270.2573708022926</v>
      </c>
    </row>
    <row r="1534" spans="1:2">
      <c r="A1534">
        <v>1533</v>
      </c>
      <c r="B1534" s="2">
        <v>262.30803060359381</v>
      </c>
    </row>
    <row r="1535" spans="1:2">
      <c r="A1535">
        <v>1534</v>
      </c>
      <c r="B1535" s="2">
        <v>191.26663797859459</v>
      </c>
    </row>
    <row r="1536" spans="1:2">
      <c r="A1536">
        <v>1535</v>
      </c>
      <c r="B1536" s="2">
        <v>295.37667490510091</v>
      </c>
    </row>
    <row r="1537" spans="1:2">
      <c r="A1537">
        <v>1536</v>
      </c>
      <c r="B1537" s="2">
        <v>373.20462317864053</v>
      </c>
    </row>
    <row r="1538" spans="1:2">
      <c r="A1538">
        <v>1537</v>
      </c>
      <c r="B1538" s="2">
        <v>279.00418432331253</v>
      </c>
    </row>
    <row r="1539" spans="1:2">
      <c r="A1539">
        <v>1538</v>
      </c>
      <c r="B1539" s="2">
        <v>401.58852369673031</v>
      </c>
    </row>
    <row r="1540" spans="1:2">
      <c r="A1540">
        <v>1539</v>
      </c>
      <c r="B1540" s="2">
        <v>245.49311611818268</v>
      </c>
    </row>
    <row r="1541" spans="1:2">
      <c r="A1541">
        <v>1540</v>
      </c>
      <c r="B1541" s="2">
        <v>236.90436121469389</v>
      </c>
    </row>
    <row r="1542" spans="1:2">
      <c r="A1542">
        <v>1541</v>
      </c>
      <c r="B1542" s="2">
        <v>377.50552996323631</v>
      </c>
    </row>
    <row r="1543" spans="1:2">
      <c r="A1543">
        <v>1542</v>
      </c>
      <c r="B1543" s="2">
        <v>249.77891322951666</v>
      </c>
    </row>
    <row r="1544" spans="1:2">
      <c r="A1544">
        <v>1543</v>
      </c>
      <c r="B1544" s="2">
        <v>361.46211643262177</v>
      </c>
    </row>
    <row r="1545" spans="1:2">
      <c r="A1545">
        <v>1544</v>
      </c>
      <c r="B1545" s="2">
        <v>284.89571872071917</v>
      </c>
    </row>
    <row r="1546" spans="1:2">
      <c r="A1546">
        <v>1545</v>
      </c>
      <c r="B1546" s="2">
        <v>258.07088739704307</v>
      </c>
    </row>
    <row r="1547" spans="1:2">
      <c r="A1547">
        <v>1546</v>
      </c>
      <c r="B1547" s="2">
        <v>422.50441381596397</v>
      </c>
    </row>
    <row r="1548" spans="1:2">
      <c r="A1548">
        <v>1547</v>
      </c>
      <c r="B1548" s="2">
        <v>318.32519943717307</v>
      </c>
    </row>
    <row r="1549" spans="1:2">
      <c r="A1549">
        <v>1548</v>
      </c>
      <c r="B1549" s="2">
        <v>385.71320965365163</v>
      </c>
    </row>
    <row r="1550" spans="1:2">
      <c r="A1550">
        <v>1549</v>
      </c>
      <c r="B1550" s="2">
        <v>279.72927829132306</v>
      </c>
    </row>
    <row r="1551" spans="1:2">
      <c r="A1551">
        <v>1550</v>
      </c>
      <c r="B1551" s="2">
        <v>451.85326464859276</v>
      </c>
    </row>
    <row r="1552" spans="1:2">
      <c r="A1552">
        <v>1551</v>
      </c>
      <c r="B1552" s="2">
        <v>393.69235664286737</v>
      </c>
    </row>
    <row r="1553" spans="1:2">
      <c r="A1553">
        <v>1552</v>
      </c>
      <c r="B1553" s="2">
        <v>298.72542549877357</v>
      </c>
    </row>
    <row r="1554" spans="1:2">
      <c r="A1554">
        <v>1553</v>
      </c>
      <c r="B1554" s="2">
        <v>244.57668546948216</v>
      </c>
    </row>
    <row r="1555" spans="1:2">
      <c r="A1555">
        <v>1554</v>
      </c>
      <c r="B1555" s="2">
        <v>392.20096041181569</v>
      </c>
    </row>
    <row r="1556" spans="1:2">
      <c r="A1556">
        <v>1555</v>
      </c>
      <c r="B1556" s="2">
        <v>354.61959647042363</v>
      </c>
    </row>
    <row r="1557" spans="1:2">
      <c r="A1557">
        <v>1556</v>
      </c>
      <c r="B1557" s="2">
        <v>526.15143427543558</v>
      </c>
    </row>
    <row r="1558" spans="1:2">
      <c r="A1558">
        <v>1557</v>
      </c>
      <c r="B1558" s="2">
        <v>368.26790088488985</v>
      </c>
    </row>
    <row r="1559" spans="1:2">
      <c r="A1559">
        <v>1558</v>
      </c>
      <c r="B1559" s="2">
        <v>498.36976736816291</v>
      </c>
    </row>
    <row r="1560" spans="1:2">
      <c r="A1560">
        <v>1559</v>
      </c>
      <c r="B1560" s="2">
        <v>447.25048061985603</v>
      </c>
    </row>
    <row r="1561" spans="1:2">
      <c r="A1561">
        <v>1560</v>
      </c>
      <c r="B1561" s="2">
        <v>349.0073228924806</v>
      </c>
    </row>
    <row r="1562" spans="1:2">
      <c r="A1562">
        <v>1561</v>
      </c>
      <c r="B1562" s="2">
        <v>365.57854991291157</v>
      </c>
    </row>
    <row r="1563" spans="1:2">
      <c r="A1563">
        <v>1562</v>
      </c>
      <c r="B1563" s="2">
        <v>283.66268528014893</v>
      </c>
    </row>
    <row r="1564" spans="1:2">
      <c r="A1564">
        <v>1563</v>
      </c>
      <c r="B1564" s="2">
        <v>216.85223360233195</v>
      </c>
    </row>
    <row r="1565" spans="1:2">
      <c r="A1565">
        <v>1564</v>
      </c>
      <c r="B1565" s="2">
        <v>377.79215258604114</v>
      </c>
    </row>
    <row r="1566" spans="1:2">
      <c r="A1566">
        <v>1565</v>
      </c>
      <c r="B1566" s="2">
        <v>293.75841468922607</v>
      </c>
    </row>
    <row r="1567" spans="1:2">
      <c r="A1567">
        <v>1566</v>
      </c>
      <c r="B1567" s="2">
        <v>325.57727844361273</v>
      </c>
    </row>
    <row r="1568" spans="1:2">
      <c r="A1568">
        <v>1567</v>
      </c>
      <c r="B1568" s="2">
        <v>413.44841924470683</v>
      </c>
    </row>
    <row r="1569" spans="1:2">
      <c r="A1569">
        <v>1568</v>
      </c>
      <c r="B1569" s="2">
        <v>237.04308955551579</v>
      </c>
    </row>
    <row r="1570" spans="1:2">
      <c r="A1570">
        <v>1569</v>
      </c>
      <c r="B1570" s="2">
        <v>341.66875271654828</v>
      </c>
    </row>
    <row r="1571" spans="1:2">
      <c r="A1571">
        <v>1570</v>
      </c>
      <c r="B1571" s="2">
        <v>477.67986943074578</v>
      </c>
    </row>
    <row r="1572" spans="1:2">
      <c r="A1572">
        <v>1571</v>
      </c>
      <c r="B1572" s="2">
        <v>403.57623116668572</v>
      </c>
    </row>
    <row r="1573" spans="1:2">
      <c r="A1573">
        <v>1572</v>
      </c>
      <c r="B1573" s="2">
        <v>252.10252361118671</v>
      </c>
    </row>
    <row r="1574" spans="1:2">
      <c r="A1574">
        <v>1573</v>
      </c>
      <c r="B1574" s="2">
        <v>280.52153466337194</v>
      </c>
    </row>
    <row r="1575" spans="1:2">
      <c r="A1575">
        <v>1574</v>
      </c>
      <c r="B1575" s="2">
        <v>302.76296704583734</v>
      </c>
    </row>
    <row r="1576" spans="1:2">
      <c r="A1576">
        <v>1575</v>
      </c>
      <c r="B1576" s="2">
        <v>433.31878398498816</v>
      </c>
    </row>
    <row r="1577" spans="1:2">
      <c r="A1577">
        <v>1576</v>
      </c>
      <c r="B1577" s="2">
        <v>458.02055319440683</v>
      </c>
    </row>
    <row r="1578" spans="1:2">
      <c r="A1578">
        <v>1577</v>
      </c>
      <c r="B1578" s="2">
        <v>377.64960039962904</v>
      </c>
    </row>
    <row r="1579" spans="1:2">
      <c r="A1579">
        <v>1578</v>
      </c>
      <c r="B1579" s="2">
        <v>281.50960773716116</v>
      </c>
    </row>
    <row r="1580" spans="1:2">
      <c r="A1580">
        <v>1579</v>
      </c>
      <c r="B1580" s="2">
        <v>323.71404525893081</v>
      </c>
    </row>
    <row r="1581" spans="1:2">
      <c r="A1581">
        <v>1580</v>
      </c>
      <c r="B1581" s="2">
        <v>386.74760459421759</v>
      </c>
    </row>
    <row r="1582" spans="1:2">
      <c r="A1582">
        <v>1581</v>
      </c>
      <c r="B1582" s="2">
        <v>286.96986044766362</v>
      </c>
    </row>
    <row r="1583" spans="1:2">
      <c r="A1583">
        <v>1582</v>
      </c>
      <c r="B1583" s="2">
        <v>132.84149414103467</v>
      </c>
    </row>
    <row r="1584" spans="1:2">
      <c r="A1584">
        <v>1583</v>
      </c>
      <c r="B1584" s="2">
        <v>336.17991005074214</v>
      </c>
    </row>
    <row r="1585" spans="1:2">
      <c r="A1585">
        <v>1584</v>
      </c>
      <c r="B1585" s="2">
        <v>407.27005025583583</v>
      </c>
    </row>
    <row r="1586" spans="1:2">
      <c r="A1586">
        <v>1585</v>
      </c>
      <c r="B1586" s="2">
        <v>245.84584789251687</v>
      </c>
    </row>
    <row r="1587" spans="1:2">
      <c r="A1587">
        <v>1586</v>
      </c>
      <c r="B1587" s="2">
        <v>374.88435639843755</v>
      </c>
    </row>
    <row r="1588" spans="1:2">
      <c r="A1588">
        <v>1587</v>
      </c>
      <c r="B1588" s="2">
        <v>454.13730566402279</v>
      </c>
    </row>
    <row r="1589" spans="1:2">
      <c r="A1589">
        <v>1588</v>
      </c>
      <c r="B1589" s="2">
        <v>231.93525771958173</v>
      </c>
    </row>
    <row r="1590" spans="1:2">
      <c r="A1590">
        <v>1589</v>
      </c>
      <c r="B1590" s="2">
        <v>177.32423025866285</v>
      </c>
    </row>
    <row r="1591" spans="1:2">
      <c r="A1591">
        <v>1590</v>
      </c>
      <c r="B1591" s="2">
        <v>361.45997462804218</v>
      </c>
    </row>
    <row r="1592" spans="1:2">
      <c r="A1592">
        <v>1591</v>
      </c>
      <c r="B1592" s="2">
        <v>383.28361903259378</v>
      </c>
    </row>
    <row r="1593" spans="1:2">
      <c r="A1593">
        <v>1592</v>
      </c>
      <c r="B1593" s="2">
        <v>180.11435988412177</v>
      </c>
    </row>
    <row r="1594" spans="1:2">
      <c r="A1594">
        <v>1593</v>
      </c>
      <c r="B1594" s="2">
        <v>281.30039210266187</v>
      </c>
    </row>
    <row r="1595" spans="1:2">
      <c r="A1595">
        <v>1594</v>
      </c>
      <c r="B1595" s="2">
        <v>472.42140802256836</v>
      </c>
    </row>
    <row r="1596" spans="1:2">
      <c r="A1596">
        <v>1595</v>
      </c>
      <c r="B1596" s="2">
        <v>349.96693128172797</v>
      </c>
    </row>
    <row r="1597" spans="1:2">
      <c r="A1597">
        <v>1596</v>
      </c>
      <c r="B1597" s="2">
        <v>265.57660030049954</v>
      </c>
    </row>
    <row r="1598" spans="1:2">
      <c r="A1598">
        <v>1597</v>
      </c>
      <c r="B1598" s="2">
        <v>431.18298737027953</v>
      </c>
    </row>
    <row r="1599" spans="1:2">
      <c r="A1599">
        <v>1598</v>
      </c>
      <c r="B1599" s="2">
        <v>238.26682932872836</v>
      </c>
    </row>
    <row r="1600" spans="1:2">
      <c r="A1600">
        <v>1599</v>
      </c>
      <c r="B1600" s="2">
        <v>222.29804380986718</v>
      </c>
    </row>
    <row r="1601" spans="1:2">
      <c r="A1601">
        <v>1600</v>
      </c>
      <c r="B1601" s="2">
        <v>426.07808079404555</v>
      </c>
    </row>
    <row r="1602" spans="1:2">
      <c r="A1602">
        <v>1601</v>
      </c>
      <c r="B1602" s="2">
        <v>180.48091572904559</v>
      </c>
    </row>
    <row r="1603" spans="1:2">
      <c r="A1603">
        <v>1602</v>
      </c>
      <c r="B1603" s="2">
        <v>321.02094989051199</v>
      </c>
    </row>
    <row r="1604" spans="1:2">
      <c r="A1604">
        <v>1603</v>
      </c>
      <c r="B1604" s="2">
        <v>184.30655742088311</v>
      </c>
    </row>
    <row r="1605" spans="1:2">
      <c r="A1605">
        <v>1604</v>
      </c>
      <c r="B1605" s="2">
        <v>336.60616939321824</v>
      </c>
    </row>
    <row r="1606" spans="1:2">
      <c r="A1606">
        <v>1605</v>
      </c>
      <c r="B1606" s="2">
        <v>436.42481203161833</v>
      </c>
    </row>
    <row r="1607" spans="1:2">
      <c r="A1607">
        <v>1606</v>
      </c>
      <c r="B1607" s="2">
        <v>253.38884455001732</v>
      </c>
    </row>
    <row r="1608" spans="1:2">
      <c r="A1608">
        <v>1607</v>
      </c>
      <c r="B1608" s="2">
        <v>413.82192228743759</v>
      </c>
    </row>
    <row r="1609" spans="1:2">
      <c r="A1609">
        <v>1608</v>
      </c>
      <c r="B1609" s="2">
        <v>465.45540778902898</v>
      </c>
    </row>
    <row r="1610" spans="1:2">
      <c r="A1610">
        <v>1609</v>
      </c>
      <c r="B1610" s="2">
        <v>360.76148178544838</v>
      </c>
    </row>
    <row r="1611" spans="1:2">
      <c r="A1611">
        <v>1610</v>
      </c>
      <c r="B1611" s="2">
        <v>347.41526048775518</v>
      </c>
    </row>
    <row r="1612" spans="1:2">
      <c r="A1612">
        <v>1611</v>
      </c>
      <c r="B1612" s="2">
        <v>410.85080946905794</v>
      </c>
    </row>
    <row r="1613" spans="1:2">
      <c r="A1613">
        <v>1612</v>
      </c>
      <c r="B1613" s="2">
        <v>355.16560826992696</v>
      </c>
    </row>
    <row r="1614" spans="1:2">
      <c r="A1614">
        <v>1613</v>
      </c>
      <c r="B1614" s="2">
        <v>451.06454353064896</v>
      </c>
    </row>
    <row r="1615" spans="1:2">
      <c r="A1615">
        <v>1614</v>
      </c>
      <c r="B1615" s="2">
        <v>419.52119174694633</v>
      </c>
    </row>
    <row r="1616" spans="1:2">
      <c r="A1616">
        <v>1615</v>
      </c>
      <c r="B1616" s="2">
        <v>507.84648911141699</v>
      </c>
    </row>
    <row r="1617" spans="1:2">
      <c r="A1617">
        <v>1616</v>
      </c>
      <c r="B1617" s="2">
        <v>385.49269793264045</v>
      </c>
    </row>
    <row r="1618" spans="1:2">
      <c r="A1618">
        <v>1617</v>
      </c>
      <c r="B1618" s="2">
        <v>285.22066372483141</v>
      </c>
    </row>
    <row r="1619" spans="1:2">
      <c r="A1619">
        <v>1618</v>
      </c>
      <c r="B1619" s="2">
        <v>435.69503116190839</v>
      </c>
    </row>
    <row r="1620" spans="1:2">
      <c r="A1620">
        <v>1619</v>
      </c>
      <c r="B1620" s="2">
        <v>332.55799137877727</v>
      </c>
    </row>
    <row r="1621" spans="1:2">
      <c r="A1621">
        <v>1620</v>
      </c>
      <c r="B1621" s="2">
        <v>354.80601758225663</v>
      </c>
    </row>
    <row r="1622" spans="1:2">
      <c r="A1622">
        <v>1621</v>
      </c>
      <c r="B1622" s="2">
        <v>407.2023179945927</v>
      </c>
    </row>
    <row r="1623" spans="1:2">
      <c r="A1623">
        <v>1622</v>
      </c>
      <c r="B1623" s="2">
        <v>192.57295409503081</v>
      </c>
    </row>
    <row r="1624" spans="1:2">
      <c r="A1624">
        <v>1623</v>
      </c>
      <c r="B1624" s="2">
        <v>376.32421086617177</v>
      </c>
    </row>
    <row r="1625" spans="1:2">
      <c r="A1625">
        <v>1624</v>
      </c>
      <c r="B1625" s="2">
        <v>221.53055680354896</v>
      </c>
    </row>
    <row r="1626" spans="1:2">
      <c r="A1626">
        <v>1625</v>
      </c>
      <c r="B1626" s="2">
        <v>325.94055174894311</v>
      </c>
    </row>
    <row r="1627" spans="1:2">
      <c r="A1627">
        <v>1626</v>
      </c>
      <c r="B1627" s="2">
        <v>402.34962596592152</v>
      </c>
    </row>
    <row r="1628" spans="1:2">
      <c r="A1628">
        <v>1627</v>
      </c>
      <c r="B1628" s="2">
        <v>401.02549053391641</v>
      </c>
    </row>
    <row r="1629" spans="1:2">
      <c r="A1629">
        <v>1628</v>
      </c>
      <c r="B1629" s="2">
        <v>457.93755139668724</v>
      </c>
    </row>
    <row r="1630" spans="1:2">
      <c r="A1630">
        <v>1629</v>
      </c>
      <c r="B1630" s="2">
        <v>90.942592141155728</v>
      </c>
    </row>
    <row r="1631" spans="1:2">
      <c r="A1631">
        <v>1630</v>
      </c>
      <c r="B1631" s="2">
        <v>162.97542835781195</v>
      </c>
    </row>
    <row r="1632" spans="1:2">
      <c r="A1632">
        <v>1631</v>
      </c>
      <c r="B1632" s="2">
        <v>340.46477479481484</v>
      </c>
    </row>
    <row r="1633" spans="1:2">
      <c r="A1633">
        <v>1632</v>
      </c>
      <c r="B1633" s="2">
        <v>428.31548285564566</v>
      </c>
    </row>
    <row r="1634" spans="1:2">
      <c r="A1634">
        <v>1633</v>
      </c>
      <c r="B1634" s="2">
        <v>444.73940930064202</v>
      </c>
    </row>
    <row r="1635" spans="1:2">
      <c r="A1635">
        <v>1634</v>
      </c>
      <c r="B1635" s="2">
        <v>464.66229024054229</v>
      </c>
    </row>
    <row r="1636" spans="1:2">
      <c r="A1636">
        <v>1635</v>
      </c>
      <c r="B1636" s="2">
        <v>440.37652610714747</v>
      </c>
    </row>
    <row r="1637" spans="1:2">
      <c r="A1637">
        <v>1636</v>
      </c>
      <c r="B1637" s="2">
        <v>401.2387574743459</v>
      </c>
    </row>
    <row r="1638" spans="1:2">
      <c r="A1638">
        <v>1637</v>
      </c>
      <c r="B1638" s="2">
        <v>281.28578035237388</v>
      </c>
    </row>
    <row r="1639" spans="1:2">
      <c r="A1639">
        <v>1638</v>
      </c>
      <c r="B1639" s="2">
        <v>488.10909800665979</v>
      </c>
    </row>
    <row r="1640" spans="1:2">
      <c r="A1640">
        <v>1639</v>
      </c>
      <c r="B1640" s="2">
        <v>311.43939471804964</v>
      </c>
    </row>
    <row r="1641" spans="1:2">
      <c r="A1641">
        <v>1640</v>
      </c>
      <c r="B1641" s="2">
        <v>100.32300051525783</v>
      </c>
    </row>
    <row r="1642" spans="1:2">
      <c r="A1642">
        <v>1641</v>
      </c>
      <c r="B1642" s="2">
        <v>387.59866040258066</v>
      </c>
    </row>
    <row r="1643" spans="1:2">
      <c r="A1643">
        <v>1642</v>
      </c>
      <c r="B1643" s="2">
        <v>424.01451569158723</v>
      </c>
    </row>
    <row r="1644" spans="1:2">
      <c r="A1644">
        <v>1643</v>
      </c>
      <c r="B1644" s="2">
        <v>304.45321365449104</v>
      </c>
    </row>
    <row r="1645" spans="1:2">
      <c r="A1645">
        <v>1644</v>
      </c>
      <c r="B1645" s="2">
        <v>420.76386727688117</v>
      </c>
    </row>
    <row r="1646" spans="1:2">
      <c r="A1646">
        <v>1645</v>
      </c>
      <c r="B1646" s="2">
        <v>310.49301082479485</v>
      </c>
    </row>
    <row r="1647" spans="1:2">
      <c r="A1647">
        <v>1646</v>
      </c>
      <c r="B1647" s="2">
        <v>390.3925523871884</v>
      </c>
    </row>
    <row r="1648" spans="1:2">
      <c r="A1648">
        <v>1647</v>
      </c>
      <c r="B1648" s="2">
        <v>362.48868394347062</v>
      </c>
    </row>
    <row r="1649" spans="1:2">
      <c r="A1649">
        <v>1648</v>
      </c>
      <c r="B1649" s="2">
        <v>398.46723123422714</v>
      </c>
    </row>
    <row r="1650" spans="1:2">
      <c r="A1650">
        <v>1649</v>
      </c>
      <c r="B1650" s="2">
        <v>239.89962432330358</v>
      </c>
    </row>
    <row r="1651" spans="1:2">
      <c r="A1651">
        <v>1650</v>
      </c>
      <c r="B1651" s="2">
        <v>352.86627882315872</v>
      </c>
    </row>
    <row r="1652" spans="1:2">
      <c r="A1652">
        <v>1651</v>
      </c>
      <c r="B1652" s="2">
        <v>304.163158776849</v>
      </c>
    </row>
    <row r="1653" spans="1:2">
      <c r="A1653">
        <v>1652</v>
      </c>
      <c r="B1653" s="2">
        <v>451.80461409601719</v>
      </c>
    </row>
    <row r="1654" spans="1:2">
      <c r="A1654">
        <v>1653</v>
      </c>
      <c r="B1654" s="2">
        <v>372.4985376589309</v>
      </c>
    </row>
    <row r="1655" spans="1:2">
      <c r="A1655">
        <v>1654</v>
      </c>
      <c r="B1655" s="2">
        <v>280.67498492277957</v>
      </c>
    </row>
    <row r="1656" spans="1:2">
      <c r="A1656">
        <v>1655</v>
      </c>
      <c r="B1656" s="2">
        <v>265.83257014354029</v>
      </c>
    </row>
    <row r="1657" spans="1:2">
      <c r="A1657">
        <v>1656</v>
      </c>
      <c r="B1657" s="2">
        <v>343.04291917132156</v>
      </c>
    </row>
    <row r="1658" spans="1:2">
      <c r="A1658">
        <v>1657</v>
      </c>
      <c r="B1658" s="2">
        <v>469.09159804531731</v>
      </c>
    </row>
    <row r="1659" spans="1:2">
      <c r="A1659">
        <v>1658</v>
      </c>
      <c r="B1659" s="2">
        <v>318.18645985723924</v>
      </c>
    </row>
    <row r="1660" spans="1:2">
      <c r="A1660">
        <v>1659</v>
      </c>
      <c r="B1660" s="2">
        <v>346.66117254796131</v>
      </c>
    </row>
    <row r="1661" spans="1:2">
      <c r="A1661">
        <v>1660</v>
      </c>
      <c r="B1661" s="2">
        <v>311.84301265383283</v>
      </c>
    </row>
    <row r="1662" spans="1:2">
      <c r="A1662">
        <v>1661</v>
      </c>
      <c r="B1662" s="2">
        <v>426.62975697563718</v>
      </c>
    </row>
    <row r="1663" spans="1:2">
      <c r="A1663">
        <v>1662</v>
      </c>
      <c r="B1663" s="2">
        <v>262.43183156170875</v>
      </c>
    </row>
    <row r="1664" spans="1:2">
      <c r="A1664">
        <v>1663</v>
      </c>
      <c r="B1664" s="2">
        <v>379.77235624200597</v>
      </c>
    </row>
    <row r="1665" spans="1:2">
      <c r="A1665">
        <v>1664</v>
      </c>
      <c r="B1665" s="2">
        <v>339.07508470885045</v>
      </c>
    </row>
    <row r="1666" spans="1:2">
      <c r="A1666">
        <v>1665</v>
      </c>
      <c r="B1666" s="2">
        <v>227.16807692415918</v>
      </c>
    </row>
    <row r="1667" spans="1:2">
      <c r="A1667">
        <v>1666</v>
      </c>
      <c r="B1667" s="2">
        <v>362.38068046555867</v>
      </c>
    </row>
    <row r="1668" spans="1:2">
      <c r="A1668">
        <v>1667</v>
      </c>
      <c r="B1668" s="2">
        <v>373.74165379940405</v>
      </c>
    </row>
    <row r="1669" spans="1:2">
      <c r="A1669">
        <v>1668</v>
      </c>
      <c r="B1669" s="2">
        <v>339.06099168168566</v>
      </c>
    </row>
    <row r="1670" spans="1:2">
      <c r="A1670">
        <v>1669</v>
      </c>
      <c r="B1670" s="2">
        <v>257.9594615931569</v>
      </c>
    </row>
    <row r="1671" spans="1:2">
      <c r="A1671">
        <v>1670</v>
      </c>
      <c r="B1671" s="2">
        <v>426.27870480313948</v>
      </c>
    </row>
    <row r="1672" spans="1:2">
      <c r="A1672">
        <v>1671</v>
      </c>
      <c r="B1672" s="2">
        <v>222.90675016045822</v>
      </c>
    </row>
    <row r="1673" spans="1:2">
      <c r="A1673">
        <v>1672</v>
      </c>
      <c r="B1673" s="2">
        <v>489.32547455114639</v>
      </c>
    </row>
    <row r="1674" spans="1:2">
      <c r="A1674">
        <v>1673</v>
      </c>
      <c r="B1674" s="2">
        <v>322.91866741363037</v>
      </c>
    </row>
    <row r="1675" spans="1:2">
      <c r="A1675">
        <v>1674</v>
      </c>
      <c r="B1675" s="2">
        <v>389.830486609959</v>
      </c>
    </row>
    <row r="1676" spans="1:2">
      <c r="A1676">
        <v>1675</v>
      </c>
      <c r="B1676" s="2">
        <v>302.83645758230716</v>
      </c>
    </row>
    <row r="1677" spans="1:2">
      <c r="A1677">
        <v>1676</v>
      </c>
      <c r="B1677" s="2">
        <v>193.17437988817488</v>
      </c>
    </row>
    <row r="1678" spans="1:2">
      <c r="A1678">
        <v>1677</v>
      </c>
      <c r="B1678" s="2">
        <v>317.24093956107015</v>
      </c>
    </row>
    <row r="1679" spans="1:2">
      <c r="A1679">
        <v>1678</v>
      </c>
      <c r="B1679" s="2">
        <v>326.54637441654484</v>
      </c>
    </row>
    <row r="1680" spans="1:2">
      <c r="A1680">
        <v>1679</v>
      </c>
      <c r="B1680" s="2">
        <v>292.38741180567405</v>
      </c>
    </row>
    <row r="1681" spans="1:2">
      <c r="A1681">
        <v>1680</v>
      </c>
      <c r="B1681" s="2">
        <v>339.86298754888088</v>
      </c>
    </row>
    <row r="1682" spans="1:2">
      <c r="A1682">
        <v>1681</v>
      </c>
      <c r="B1682" s="2">
        <v>358.37817339342604</v>
      </c>
    </row>
    <row r="1683" spans="1:2">
      <c r="A1683">
        <v>1682</v>
      </c>
      <c r="B1683" s="2">
        <v>217.95986892220617</v>
      </c>
    </row>
    <row r="1684" spans="1:2">
      <c r="A1684">
        <v>1683</v>
      </c>
      <c r="B1684" s="2">
        <v>258.82802868402644</v>
      </c>
    </row>
    <row r="1685" spans="1:2">
      <c r="A1685">
        <v>1684</v>
      </c>
      <c r="B1685" s="2">
        <v>441.36682225247642</v>
      </c>
    </row>
    <row r="1686" spans="1:2">
      <c r="A1686">
        <v>1685</v>
      </c>
      <c r="B1686" s="2">
        <v>364.98108539884947</v>
      </c>
    </row>
    <row r="1687" spans="1:2">
      <c r="A1687">
        <v>1686</v>
      </c>
      <c r="B1687" s="2">
        <v>298.78865032579557</v>
      </c>
    </row>
    <row r="1688" spans="1:2">
      <c r="A1688">
        <v>1687</v>
      </c>
      <c r="B1688" s="2">
        <v>368.91588193140683</v>
      </c>
    </row>
    <row r="1689" spans="1:2">
      <c r="A1689">
        <v>1688</v>
      </c>
      <c r="B1689" s="2">
        <v>452.29656166776095</v>
      </c>
    </row>
    <row r="1690" spans="1:2">
      <c r="A1690">
        <v>1689</v>
      </c>
      <c r="B1690" s="2">
        <v>277.38495447869161</v>
      </c>
    </row>
    <row r="1691" spans="1:2">
      <c r="A1691">
        <v>1690</v>
      </c>
      <c r="B1691" s="2">
        <v>261.94787917604413</v>
      </c>
    </row>
    <row r="1692" spans="1:2">
      <c r="A1692">
        <v>1691</v>
      </c>
      <c r="B1692" s="2">
        <v>364.1107926690612</v>
      </c>
    </row>
    <row r="1693" spans="1:2">
      <c r="A1693">
        <v>1692</v>
      </c>
      <c r="B1693" s="2">
        <v>366.26468242482554</v>
      </c>
    </row>
    <row r="1694" spans="1:2">
      <c r="A1694">
        <v>1693</v>
      </c>
      <c r="B1694" s="2">
        <v>406.34922957299688</v>
      </c>
    </row>
    <row r="1695" spans="1:2">
      <c r="A1695">
        <v>1694</v>
      </c>
      <c r="B1695" s="2">
        <v>481.5995342605255</v>
      </c>
    </row>
    <row r="1696" spans="1:2">
      <c r="A1696">
        <v>1695</v>
      </c>
      <c r="B1696" s="2">
        <v>482.52550520368948</v>
      </c>
    </row>
    <row r="1697" spans="1:2">
      <c r="A1697">
        <v>1696</v>
      </c>
      <c r="B1697" s="2">
        <v>346.95653210804375</v>
      </c>
    </row>
    <row r="1698" spans="1:2">
      <c r="A1698">
        <v>1697</v>
      </c>
      <c r="B1698" s="2">
        <v>494.55582869321819</v>
      </c>
    </row>
    <row r="1699" spans="1:2">
      <c r="A1699">
        <v>1698</v>
      </c>
      <c r="B1699" s="2">
        <v>194.60678433375352</v>
      </c>
    </row>
    <row r="1700" spans="1:2">
      <c r="A1700">
        <v>1699</v>
      </c>
      <c r="B1700" s="2">
        <v>254.59867197078813</v>
      </c>
    </row>
    <row r="1701" spans="1:2">
      <c r="A1701">
        <v>1700</v>
      </c>
      <c r="B1701" s="2">
        <v>321.79504848661395</v>
      </c>
    </row>
    <row r="1702" spans="1:2">
      <c r="A1702">
        <v>1701</v>
      </c>
      <c r="B1702" s="2">
        <v>417.42195517362524</v>
      </c>
    </row>
    <row r="1703" spans="1:2">
      <c r="A1703">
        <v>1702</v>
      </c>
      <c r="B1703" s="2">
        <v>408.38270869556499</v>
      </c>
    </row>
    <row r="1704" spans="1:2">
      <c r="A1704">
        <v>1703</v>
      </c>
      <c r="B1704" s="2">
        <v>284.23243400235691</v>
      </c>
    </row>
    <row r="1705" spans="1:2">
      <c r="A1705">
        <v>1704</v>
      </c>
      <c r="B1705" s="2">
        <v>315.80221111488441</v>
      </c>
    </row>
    <row r="1706" spans="1:2">
      <c r="A1706">
        <v>1705</v>
      </c>
      <c r="B1706" s="2">
        <v>417.40014015314085</v>
      </c>
    </row>
    <row r="1707" spans="1:2">
      <c r="A1707">
        <v>1706</v>
      </c>
      <c r="B1707" s="2">
        <v>322.15585819036312</v>
      </c>
    </row>
    <row r="1708" spans="1:2">
      <c r="A1708">
        <v>1707</v>
      </c>
      <c r="B1708" s="2">
        <v>385.23063178036102</v>
      </c>
    </row>
    <row r="1709" spans="1:2">
      <c r="A1709">
        <v>1708</v>
      </c>
      <c r="B1709" s="2">
        <v>294.53428424641538</v>
      </c>
    </row>
    <row r="1710" spans="1:2">
      <c r="A1710">
        <v>1709</v>
      </c>
      <c r="B1710" s="2">
        <v>388.39492115336293</v>
      </c>
    </row>
    <row r="1711" spans="1:2">
      <c r="A1711">
        <v>1710</v>
      </c>
      <c r="B1711" s="2">
        <v>380.14814864999198</v>
      </c>
    </row>
    <row r="1712" spans="1:2">
      <c r="A1712">
        <v>1711</v>
      </c>
      <c r="B1712" s="2">
        <v>321.02797041732481</v>
      </c>
    </row>
    <row r="1713" spans="1:2">
      <c r="A1713">
        <v>1712</v>
      </c>
      <c r="B1713" s="2">
        <v>331.45141667011023</v>
      </c>
    </row>
    <row r="1714" spans="1:2">
      <c r="A1714">
        <v>1713</v>
      </c>
      <c r="B1714" s="2">
        <v>397.13901498213215</v>
      </c>
    </row>
    <row r="1715" spans="1:2">
      <c r="A1715">
        <v>1714</v>
      </c>
      <c r="B1715" s="2">
        <v>317.59102684169085</v>
      </c>
    </row>
    <row r="1716" spans="1:2">
      <c r="A1716">
        <v>1715</v>
      </c>
      <c r="B1716" s="2">
        <v>292.78376985954873</v>
      </c>
    </row>
    <row r="1717" spans="1:2">
      <c r="A1717">
        <v>1716</v>
      </c>
      <c r="B1717" s="2">
        <v>185.76352695542397</v>
      </c>
    </row>
    <row r="1718" spans="1:2">
      <c r="A1718">
        <v>1717</v>
      </c>
      <c r="B1718" s="2">
        <v>311.3545666058809</v>
      </c>
    </row>
    <row r="1719" spans="1:2">
      <c r="A1719">
        <v>1718</v>
      </c>
      <c r="B1719" s="2">
        <v>361.42860793354305</v>
      </c>
    </row>
    <row r="1720" spans="1:2">
      <c r="A1720">
        <v>1719</v>
      </c>
      <c r="B1720" s="2">
        <v>383.2643674476459</v>
      </c>
    </row>
    <row r="1721" spans="1:2">
      <c r="A1721">
        <v>1720</v>
      </c>
      <c r="B1721" s="2">
        <v>196.28652896124783</v>
      </c>
    </row>
    <row r="1722" spans="1:2">
      <c r="A1722">
        <v>1721</v>
      </c>
      <c r="B1722" s="2">
        <v>423.88335834038259</v>
      </c>
    </row>
    <row r="1723" spans="1:2">
      <c r="A1723">
        <v>1722</v>
      </c>
      <c r="B1723" s="2">
        <v>410.09084441380793</v>
      </c>
    </row>
    <row r="1724" spans="1:2">
      <c r="A1724">
        <v>1723</v>
      </c>
      <c r="B1724" s="2">
        <v>337.32260391495436</v>
      </c>
    </row>
    <row r="1725" spans="1:2">
      <c r="A1725">
        <v>1724</v>
      </c>
      <c r="B1725" s="2">
        <v>420.74930252542987</v>
      </c>
    </row>
    <row r="1726" spans="1:2">
      <c r="A1726">
        <v>1725</v>
      </c>
      <c r="B1726" s="2">
        <v>291.94714596482072</v>
      </c>
    </row>
    <row r="1727" spans="1:2">
      <c r="A1727">
        <v>1726</v>
      </c>
      <c r="B1727" s="2">
        <v>160.22727408069875</v>
      </c>
    </row>
    <row r="1728" spans="1:2">
      <c r="A1728">
        <v>1727</v>
      </c>
      <c r="B1728" s="2">
        <v>316.16872947010404</v>
      </c>
    </row>
    <row r="1729" spans="1:2">
      <c r="A1729">
        <v>1728</v>
      </c>
      <c r="B1729" s="2">
        <v>463.18658810402701</v>
      </c>
    </row>
    <row r="1730" spans="1:2">
      <c r="A1730">
        <v>1729</v>
      </c>
      <c r="B1730" s="2">
        <v>300.1424712977128</v>
      </c>
    </row>
    <row r="1731" spans="1:2">
      <c r="A1731">
        <v>1730</v>
      </c>
      <c r="B1731" s="2">
        <v>367.83992737660981</v>
      </c>
    </row>
    <row r="1732" spans="1:2">
      <c r="A1732">
        <v>1731</v>
      </c>
      <c r="B1732" s="2">
        <v>400.89522803546032</v>
      </c>
    </row>
    <row r="1733" spans="1:2">
      <c r="A1733">
        <v>1732</v>
      </c>
      <c r="B1733" s="2">
        <v>441.73588532892643</v>
      </c>
    </row>
    <row r="1734" spans="1:2">
      <c r="A1734">
        <v>1733</v>
      </c>
      <c r="B1734" s="2">
        <v>320.64955778640677</v>
      </c>
    </row>
    <row r="1735" spans="1:2">
      <c r="A1735">
        <v>1734</v>
      </c>
      <c r="B1735" s="2">
        <v>266.17605734580332</v>
      </c>
    </row>
    <row r="1736" spans="1:2">
      <c r="A1736">
        <v>1735</v>
      </c>
      <c r="B1736" s="2">
        <v>233.56166378310104</v>
      </c>
    </row>
    <row r="1737" spans="1:2">
      <c r="A1737">
        <v>1736</v>
      </c>
      <c r="B1737" s="2">
        <v>244.90087102526235</v>
      </c>
    </row>
    <row r="1738" spans="1:2">
      <c r="A1738">
        <v>1737</v>
      </c>
      <c r="B1738" s="2">
        <v>370.77398264673388</v>
      </c>
    </row>
    <row r="1739" spans="1:2">
      <c r="A1739">
        <v>1738</v>
      </c>
      <c r="B1739" s="2">
        <v>351.58308497150358</v>
      </c>
    </row>
    <row r="1740" spans="1:2">
      <c r="A1740">
        <v>1739</v>
      </c>
      <c r="B1740" s="2">
        <v>558.00943067861147</v>
      </c>
    </row>
    <row r="1741" spans="1:2">
      <c r="A1741">
        <v>1740</v>
      </c>
      <c r="B1741" s="2">
        <v>300.30469580353758</v>
      </c>
    </row>
    <row r="1742" spans="1:2">
      <c r="A1742">
        <v>1741</v>
      </c>
      <c r="B1742" s="2">
        <v>239.31042351889448</v>
      </c>
    </row>
    <row r="1743" spans="1:2">
      <c r="A1743">
        <v>1742</v>
      </c>
      <c r="B1743" s="2">
        <v>397.04576563213652</v>
      </c>
    </row>
    <row r="1744" spans="1:2">
      <c r="A1744">
        <v>1743</v>
      </c>
      <c r="B1744" s="2">
        <v>228.78703739728485</v>
      </c>
    </row>
    <row r="1745" spans="1:2">
      <c r="A1745">
        <v>1744</v>
      </c>
      <c r="B1745" s="2">
        <v>416.29160689303762</v>
      </c>
    </row>
    <row r="1746" spans="1:2">
      <c r="A1746">
        <v>1745</v>
      </c>
      <c r="B1746" s="2">
        <v>294.85947831999385</v>
      </c>
    </row>
    <row r="1747" spans="1:2">
      <c r="A1747">
        <v>1746</v>
      </c>
      <c r="B1747" s="2">
        <v>416.54047477749396</v>
      </c>
    </row>
    <row r="1748" spans="1:2">
      <c r="A1748">
        <v>1747</v>
      </c>
      <c r="B1748" s="2">
        <v>447.03105042385255</v>
      </c>
    </row>
    <row r="1749" spans="1:2">
      <c r="A1749">
        <v>1748</v>
      </c>
      <c r="B1749" s="2">
        <v>351.08938529671673</v>
      </c>
    </row>
    <row r="1750" spans="1:2">
      <c r="A1750">
        <v>1749</v>
      </c>
      <c r="B1750" s="2">
        <v>252.71772989202671</v>
      </c>
    </row>
    <row r="1751" spans="1:2">
      <c r="A1751">
        <v>1750</v>
      </c>
      <c r="B1751" s="2">
        <v>409.71712685703739</v>
      </c>
    </row>
    <row r="1752" spans="1:2">
      <c r="A1752">
        <v>1751</v>
      </c>
      <c r="B1752" s="2">
        <v>457.90401707900457</v>
      </c>
    </row>
    <row r="1753" spans="1:2">
      <c r="A1753">
        <v>1752</v>
      </c>
      <c r="B1753" s="2">
        <v>456.11522957533975</v>
      </c>
    </row>
    <row r="1754" spans="1:2">
      <c r="A1754">
        <v>1753</v>
      </c>
      <c r="B1754" s="2">
        <v>351.17291705452931</v>
      </c>
    </row>
    <row r="1755" spans="1:2">
      <c r="A1755">
        <v>1754</v>
      </c>
      <c r="B1755" s="2">
        <v>290.16776017813038</v>
      </c>
    </row>
    <row r="1756" spans="1:2">
      <c r="A1756">
        <v>1755</v>
      </c>
      <c r="B1756" s="2">
        <v>416.75669519832195</v>
      </c>
    </row>
    <row r="1757" spans="1:2">
      <c r="A1757">
        <v>1756</v>
      </c>
      <c r="B1757" s="2">
        <v>372.91413295629951</v>
      </c>
    </row>
    <row r="1758" spans="1:2">
      <c r="A1758">
        <v>1757</v>
      </c>
      <c r="B1758" s="2">
        <v>399.95592420226592</v>
      </c>
    </row>
    <row r="1759" spans="1:2">
      <c r="A1759">
        <v>1758</v>
      </c>
      <c r="B1759" s="2">
        <v>211.39326636734535</v>
      </c>
    </row>
    <row r="1760" spans="1:2">
      <c r="A1760">
        <v>1759</v>
      </c>
      <c r="B1760" s="2">
        <v>387.86944327715833</v>
      </c>
    </row>
    <row r="1761" spans="1:2">
      <c r="A1761">
        <v>1760</v>
      </c>
      <c r="B1761" s="2">
        <v>256.03621624958191</v>
      </c>
    </row>
    <row r="1762" spans="1:2">
      <c r="A1762">
        <v>1761</v>
      </c>
      <c r="B1762" s="2">
        <v>274.83715929863763</v>
      </c>
    </row>
    <row r="1763" spans="1:2">
      <c r="A1763">
        <v>1762</v>
      </c>
      <c r="B1763" s="2">
        <v>335.44484532175881</v>
      </c>
    </row>
    <row r="1764" spans="1:2">
      <c r="A1764">
        <v>1763</v>
      </c>
      <c r="B1764" s="2">
        <v>320.27549815289507</v>
      </c>
    </row>
    <row r="1765" spans="1:2">
      <c r="A1765">
        <v>1764</v>
      </c>
      <c r="B1765" s="2">
        <v>428.71515620281883</v>
      </c>
    </row>
    <row r="1766" spans="1:2">
      <c r="A1766">
        <v>1765</v>
      </c>
      <c r="B1766" s="2">
        <v>357.38093658379114</v>
      </c>
    </row>
    <row r="1767" spans="1:2">
      <c r="A1767">
        <v>1766</v>
      </c>
      <c r="B1767" s="2">
        <v>404.76585302076626</v>
      </c>
    </row>
    <row r="1768" spans="1:2">
      <c r="A1768">
        <v>1767</v>
      </c>
      <c r="B1768" s="2">
        <v>233.02918722586298</v>
      </c>
    </row>
    <row r="1769" spans="1:2">
      <c r="A1769">
        <v>1768</v>
      </c>
      <c r="B1769" s="2">
        <v>401.60718808052775</v>
      </c>
    </row>
    <row r="1770" spans="1:2">
      <c r="A1770">
        <v>1769</v>
      </c>
      <c r="B1770" s="2">
        <v>345.86189992703277</v>
      </c>
    </row>
    <row r="1771" spans="1:2">
      <c r="A1771">
        <v>1770</v>
      </c>
      <c r="B1771" s="2">
        <v>321.94567116244934</v>
      </c>
    </row>
    <row r="1772" spans="1:2">
      <c r="A1772">
        <v>1771</v>
      </c>
      <c r="B1772" s="2">
        <v>326.81281253155606</v>
      </c>
    </row>
    <row r="1773" spans="1:2">
      <c r="A1773">
        <v>1772</v>
      </c>
      <c r="B1773" s="2">
        <v>344.83635216806545</v>
      </c>
    </row>
    <row r="1774" spans="1:2">
      <c r="A1774">
        <v>1773</v>
      </c>
      <c r="B1774" s="2">
        <v>331.7099538719113</v>
      </c>
    </row>
    <row r="1775" spans="1:2">
      <c r="A1775">
        <v>1774</v>
      </c>
      <c r="B1775" s="2">
        <v>278.01905892154224</v>
      </c>
    </row>
    <row r="1776" spans="1:2">
      <c r="A1776">
        <v>1775</v>
      </c>
      <c r="B1776" s="2">
        <v>272.21519040544285</v>
      </c>
    </row>
    <row r="1777" spans="1:2">
      <c r="A1777">
        <v>1776</v>
      </c>
      <c r="B1777" s="2">
        <v>314.86131244681133</v>
      </c>
    </row>
    <row r="1778" spans="1:2">
      <c r="A1778">
        <v>1777</v>
      </c>
      <c r="B1778" s="2">
        <v>332.93032691783941</v>
      </c>
    </row>
    <row r="1779" spans="1:2">
      <c r="A1779">
        <v>1778</v>
      </c>
      <c r="B1779" s="2">
        <v>376.57917358746749</v>
      </c>
    </row>
    <row r="1780" spans="1:2">
      <c r="A1780">
        <v>1779</v>
      </c>
      <c r="B1780" s="2">
        <v>329.61904217617871</v>
      </c>
    </row>
    <row r="1781" spans="1:2">
      <c r="A1781">
        <v>1780</v>
      </c>
      <c r="B1781" s="2">
        <v>399.15148709607053</v>
      </c>
    </row>
    <row r="1782" spans="1:2">
      <c r="A1782">
        <v>1781</v>
      </c>
      <c r="B1782" s="2">
        <v>407.29861656794151</v>
      </c>
    </row>
    <row r="1783" spans="1:2">
      <c r="A1783">
        <v>1782</v>
      </c>
      <c r="B1783" s="2">
        <v>441.44696010171162</v>
      </c>
    </row>
    <row r="1784" spans="1:2">
      <c r="A1784">
        <v>1783</v>
      </c>
      <c r="B1784" s="2">
        <v>320.34173682053097</v>
      </c>
    </row>
    <row r="1785" spans="1:2">
      <c r="A1785">
        <v>1784</v>
      </c>
      <c r="B1785" s="2">
        <v>409.041870473541</v>
      </c>
    </row>
    <row r="1786" spans="1:2">
      <c r="A1786">
        <v>1785</v>
      </c>
      <c r="B1786" s="2">
        <v>228.18624764386982</v>
      </c>
    </row>
    <row r="1787" spans="1:2">
      <c r="A1787">
        <v>1786</v>
      </c>
      <c r="B1787" s="2">
        <v>413.67668746219084</v>
      </c>
    </row>
    <row r="1788" spans="1:2">
      <c r="A1788">
        <v>1787</v>
      </c>
      <c r="B1788" s="2">
        <v>453.13662974500971</v>
      </c>
    </row>
    <row r="1789" spans="1:2">
      <c r="A1789">
        <v>1788</v>
      </c>
      <c r="B1789" s="2">
        <v>376.24418770655075</v>
      </c>
    </row>
    <row r="1790" spans="1:2">
      <c r="A1790">
        <v>1789</v>
      </c>
      <c r="B1790" s="2">
        <v>440.76784183151301</v>
      </c>
    </row>
    <row r="1791" spans="1:2">
      <c r="A1791">
        <v>1790</v>
      </c>
      <c r="B1791" s="2">
        <v>311.86102742136814</v>
      </c>
    </row>
    <row r="1792" spans="1:2">
      <c r="A1792">
        <v>1791</v>
      </c>
      <c r="B1792" s="2">
        <v>190.52838541658224</v>
      </c>
    </row>
    <row r="1793" spans="1:2">
      <c r="A1793">
        <v>1792</v>
      </c>
      <c r="B1793" s="2">
        <v>400.67701253186999</v>
      </c>
    </row>
    <row r="1794" spans="1:2">
      <c r="A1794">
        <v>1793</v>
      </c>
      <c r="B1794" s="2">
        <v>350.74304281641957</v>
      </c>
    </row>
    <row r="1795" spans="1:2">
      <c r="A1795">
        <v>1794</v>
      </c>
      <c r="B1795" s="2">
        <v>407.83978473910884</v>
      </c>
    </row>
    <row r="1796" spans="1:2">
      <c r="A1796">
        <v>1795</v>
      </c>
      <c r="B1796" s="2">
        <v>417.04181920623301</v>
      </c>
    </row>
    <row r="1797" spans="1:2">
      <c r="A1797">
        <v>1796</v>
      </c>
      <c r="B1797" s="2">
        <v>301.77020128893946</v>
      </c>
    </row>
    <row r="1798" spans="1:2">
      <c r="A1798">
        <v>1797</v>
      </c>
      <c r="B1798" s="2">
        <v>393.00260944920933</v>
      </c>
    </row>
    <row r="1799" spans="1:2">
      <c r="A1799">
        <v>1798</v>
      </c>
      <c r="B1799" s="2">
        <v>259.63450455655334</v>
      </c>
    </row>
    <row r="1800" spans="1:2">
      <c r="A1800">
        <v>1799</v>
      </c>
      <c r="B1800" s="2">
        <v>330.88150884389881</v>
      </c>
    </row>
    <row r="1801" spans="1:2">
      <c r="A1801">
        <v>1800</v>
      </c>
      <c r="B1801" s="2">
        <v>443.01105634016136</v>
      </c>
    </row>
    <row r="1802" spans="1:2">
      <c r="A1802">
        <v>1801</v>
      </c>
      <c r="B1802" s="2">
        <v>223.10240388329873</v>
      </c>
    </row>
    <row r="1803" spans="1:2">
      <c r="A1803">
        <v>1802</v>
      </c>
      <c r="B1803" s="2">
        <v>446.34970982868015</v>
      </c>
    </row>
    <row r="1804" spans="1:2">
      <c r="A1804">
        <v>1803</v>
      </c>
      <c r="B1804" s="2">
        <v>363.11864385564013</v>
      </c>
    </row>
    <row r="1805" spans="1:2">
      <c r="A1805">
        <v>1804</v>
      </c>
      <c r="B1805" s="2">
        <v>437.58866629960687</v>
      </c>
    </row>
    <row r="1806" spans="1:2">
      <c r="A1806">
        <v>1805</v>
      </c>
      <c r="B1806" s="2">
        <v>429.05408508640528</v>
      </c>
    </row>
    <row r="1807" spans="1:2">
      <c r="A1807">
        <v>1806</v>
      </c>
      <c r="B1807" s="2">
        <v>276.9379214766592</v>
      </c>
    </row>
    <row r="1808" spans="1:2">
      <c r="A1808">
        <v>1807</v>
      </c>
      <c r="B1808" s="2">
        <v>391.51965942026862</v>
      </c>
    </row>
    <row r="1809" spans="1:2">
      <c r="A1809">
        <v>1808</v>
      </c>
      <c r="B1809" s="2">
        <v>370.14714486411765</v>
      </c>
    </row>
    <row r="1810" spans="1:2">
      <c r="A1810">
        <v>1809</v>
      </c>
      <c r="B1810" s="2">
        <v>212.81109931629121</v>
      </c>
    </row>
    <row r="1811" spans="1:2">
      <c r="A1811">
        <v>1810</v>
      </c>
      <c r="B1811" s="2">
        <v>361.84783632783746</v>
      </c>
    </row>
    <row r="1812" spans="1:2">
      <c r="A1812">
        <v>1811</v>
      </c>
      <c r="B1812" s="2">
        <v>325.7443185686945</v>
      </c>
    </row>
    <row r="1813" spans="1:2">
      <c r="A1813">
        <v>1812</v>
      </c>
      <c r="B1813" s="2">
        <v>312.34237610516413</v>
      </c>
    </row>
    <row r="1814" spans="1:2">
      <c r="A1814">
        <v>1813</v>
      </c>
      <c r="B1814" s="2">
        <v>312.71505916377828</v>
      </c>
    </row>
    <row r="1815" spans="1:2">
      <c r="A1815">
        <v>1814</v>
      </c>
      <c r="B1815" s="2">
        <v>477.07956701674038</v>
      </c>
    </row>
    <row r="1816" spans="1:2">
      <c r="A1816">
        <v>1815</v>
      </c>
      <c r="B1816" s="2">
        <v>376.4250917741482</v>
      </c>
    </row>
    <row r="1817" spans="1:2">
      <c r="A1817">
        <v>1816</v>
      </c>
      <c r="B1817" s="2">
        <v>334.65631491600243</v>
      </c>
    </row>
    <row r="1818" spans="1:2">
      <c r="A1818">
        <v>1817</v>
      </c>
      <c r="B1818" s="2">
        <v>419.18280128063759</v>
      </c>
    </row>
    <row r="1819" spans="1:2">
      <c r="A1819">
        <v>1818</v>
      </c>
      <c r="B1819" s="2">
        <v>321.1721012738592</v>
      </c>
    </row>
    <row r="1820" spans="1:2">
      <c r="A1820">
        <v>1819</v>
      </c>
      <c r="B1820" s="2">
        <v>381.19287631336391</v>
      </c>
    </row>
    <row r="1821" spans="1:2">
      <c r="A1821">
        <v>1820</v>
      </c>
      <c r="B1821" s="2">
        <v>441.13696318128098</v>
      </c>
    </row>
    <row r="1822" spans="1:2">
      <c r="A1822">
        <v>1821</v>
      </c>
      <c r="B1822" s="2">
        <v>372.47014166777234</v>
      </c>
    </row>
    <row r="1823" spans="1:2">
      <c r="A1823">
        <v>1822</v>
      </c>
      <c r="B1823" s="2">
        <v>315.11229269794563</v>
      </c>
    </row>
    <row r="1824" spans="1:2">
      <c r="A1824">
        <v>1823</v>
      </c>
      <c r="B1824" s="2">
        <v>382.36942990149566</v>
      </c>
    </row>
    <row r="1825" spans="1:2">
      <c r="A1825">
        <v>1824</v>
      </c>
      <c r="B1825" s="2">
        <v>410.63540325209487</v>
      </c>
    </row>
    <row r="1826" spans="1:2">
      <c r="A1826">
        <v>1825</v>
      </c>
      <c r="B1826" s="2">
        <v>305.12223623598788</v>
      </c>
    </row>
    <row r="1827" spans="1:2">
      <c r="A1827">
        <v>1826</v>
      </c>
      <c r="B1827" s="2">
        <v>342.55335635793494</v>
      </c>
    </row>
    <row r="1828" spans="1:2">
      <c r="A1828">
        <v>1827</v>
      </c>
      <c r="B1828" s="2">
        <v>329.61673364887025</v>
      </c>
    </row>
    <row r="1829" spans="1:2">
      <c r="A1829">
        <v>1828</v>
      </c>
      <c r="B1829" s="2">
        <v>306.2998203743453</v>
      </c>
    </row>
    <row r="1830" spans="1:2">
      <c r="A1830">
        <v>1829</v>
      </c>
      <c r="B1830" s="2">
        <v>410.42816693897134</v>
      </c>
    </row>
    <row r="1831" spans="1:2">
      <c r="A1831">
        <v>1830</v>
      </c>
      <c r="B1831" s="2">
        <v>369.717924267836</v>
      </c>
    </row>
    <row r="1832" spans="1:2">
      <c r="A1832">
        <v>1831</v>
      </c>
      <c r="B1832" s="2">
        <v>205.5724240764194</v>
      </c>
    </row>
    <row r="1833" spans="1:2">
      <c r="A1833">
        <v>1832</v>
      </c>
      <c r="B1833" s="2">
        <v>320.35949026487754</v>
      </c>
    </row>
    <row r="1834" spans="1:2">
      <c r="A1834">
        <v>1833</v>
      </c>
      <c r="B1834" s="2">
        <v>370.6794068024966</v>
      </c>
    </row>
    <row r="1835" spans="1:2">
      <c r="A1835">
        <v>1834</v>
      </c>
      <c r="B1835" s="2">
        <v>314.22837461356414</v>
      </c>
    </row>
    <row r="1836" spans="1:2">
      <c r="A1836">
        <v>1835</v>
      </c>
      <c r="B1836" s="2">
        <v>311.69144009143224</v>
      </c>
    </row>
    <row r="1837" spans="1:2">
      <c r="A1837">
        <v>1836</v>
      </c>
      <c r="B1837" s="2">
        <v>380.91946226553046</v>
      </c>
    </row>
    <row r="1838" spans="1:2">
      <c r="A1838">
        <v>1837</v>
      </c>
      <c r="B1838" s="2">
        <v>358.37572711250334</v>
      </c>
    </row>
    <row r="1839" spans="1:2">
      <c r="A1839">
        <v>1838</v>
      </c>
      <c r="B1839" s="2">
        <v>352.48912678424949</v>
      </c>
    </row>
    <row r="1840" spans="1:2">
      <c r="A1840">
        <v>1839</v>
      </c>
      <c r="B1840" s="2">
        <v>350.87219941391311</v>
      </c>
    </row>
    <row r="1841" spans="1:2">
      <c r="A1841">
        <v>1840</v>
      </c>
      <c r="B1841" s="2">
        <v>201.52563332136532</v>
      </c>
    </row>
    <row r="1842" spans="1:2">
      <c r="A1842">
        <v>1841</v>
      </c>
      <c r="B1842" s="2">
        <v>360.03331126564842</v>
      </c>
    </row>
    <row r="1843" spans="1:2">
      <c r="A1843">
        <v>1842</v>
      </c>
      <c r="B1843" s="2">
        <v>335.6012764420783</v>
      </c>
    </row>
    <row r="1844" spans="1:2">
      <c r="A1844">
        <v>1843</v>
      </c>
      <c r="B1844" s="2">
        <v>449.26868256309058</v>
      </c>
    </row>
    <row r="1845" spans="1:2">
      <c r="A1845">
        <v>1844</v>
      </c>
      <c r="B1845" s="2">
        <v>477.9514291867672</v>
      </c>
    </row>
    <row r="1846" spans="1:2">
      <c r="A1846">
        <v>1845</v>
      </c>
      <c r="B1846" s="2">
        <v>260.56724778588796</v>
      </c>
    </row>
    <row r="1847" spans="1:2">
      <c r="A1847">
        <v>1846</v>
      </c>
      <c r="B1847" s="2">
        <v>269.83674059412658</v>
      </c>
    </row>
    <row r="1848" spans="1:2">
      <c r="A1848">
        <v>1847</v>
      </c>
      <c r="B1848" s="2">
        <v>332.09066637597334</v>
      </c>
    </row>
    <row r="1849" spans="1:2">
      <c r="A1849">
        <v>1848</v>
      </c>
      <c r="B1849" s="2">
        <v>209.47745322375459</v>
      </c>
    </row>
    <row r="1850" spans="1:2">
      <c r="A1850">
        <v>1849</v>
      </c>
      <c r="B1850" s="2">
        <v>270.75742956256022</v>
      </c>
    </row>
    <row r="1851" spans="1:2">
      <c r="A1851">
        <v>1850</v>
      </c>
      <c r="B1851" s="2">
        <v>262.82052879433201</v>
      </c>
    </row>
    <row r="1852" spans="1:2">
      <c r="A1852">
        <v>1851</v>
      </c>
      <c r="B1852" s="2">
        <v>516.81608397744117</v>
      </c>
    </row>
    <row r="1853" spans="1:2">
      <c r="A1853">
        <v>1852</v>
      </c>
      <c r="B1853" s="2">
        <v>246.79910283957557</v>
      </c>
    </row>
    <row r="1854" spans="1:2">
      <c r="A1854">
        <v>1853</v>
      </c>
      <c r="B1854" s="2">
        <v>376.06250151650011</v>
      </c>
    </row>
    <row r="1855" spans="1:2">
      <c r="A1855">
        <v>1854</v>
      </c>
      <c r="B1855" s="2">
        <v>292.25857168754135</v>
      </c>
    </row>
    <row r="1856" spans="1:2">
      <c r="A1856">
        <v>1855</v>
      </c>
      <c r="B1856" s="2">
        <v>297.33444437707675</v>
      </c>
    </row>
    <row r="1857" spans="1:2">
      <c r="A1857">
        <v>1856</v>
      </c>
      <c r="B1857" s="2">
        <v>185.72965193780249</v>
      </c>
    </row>
    <row r="1858" spans="1:2">
      <c r="A1858">
        <v>1857</v>
      </c>
      <c r="B1858" s="2">
        <v>270.42515393975054</v>
      </c>
    </row>
    <row r="1859" spans="1:2">
      <c r="A1859">
        <v>1858</v>
      </c>
      <c r="B1859" s="2">
        <v>405.1446900030474</v>
      </c>
    </row>
    <row r="1860" spans="1:2">
      <c r="A1860">
        <v>1859</v>
      </c>
      <c r="B1860" s="2">
        <v>429.66731426220178</v>
      </c>
    </row>
    <row r="1861" spans="1:2">
      <c r="A1861">
        <v>1860</v>
      </c>
      <c r="B1861" s="2">
        <v>300.14434129505577</v>
      </c>
    </row>
    <row r="1862" spans="1:2">
      <c r="A1862">
        <v>1861</v>
      </c>
      <c r="B1862" s="2">
        <v>354.77985819191082</v>
      </c>
    </row>
    <row r="1863" spans="1:2">
      <c r="A1863">
        <v>1862</v>
      </c>
      <c r="B1863" s="2">
        <v>224.98174058007689</v>
      </c>
    </row>
    <row r="1864" spans="1:2">
      <c r="A1864">
        <v>1863</v>
      </c>
      <c r="B1864" s="2">
        <v>337.59246658381858</v>
      </c>
    </row>
    <row r="1865" spans="1:2">
      <c r="A1865">
        <v>1864</v>
      </c>
      <c r="B1865" s="2">
        <v>323.92380253487698</v>
      </c>
    </row>
    <row r="1866" spans="1:2">
      <c r="A1866">
        <v>1865</v>
      </c>
      <c r="B1866" s="2">
        <v>299.10550519002561</v>
      </c>
    </row>
    <row r="1867" spans="1:2">
      <c r="A1867">
        <v>1866</v>
      </c>
      <c r="B1867" s="2">
        <v>437.73490717573776</v>
      </c>
    </row>
    <row r="1868" spans="1:2">
      <c r="A1868">
        <v>1867</v>
      </c>
      <c r="B1868" s="2">
        <v>323.30106436626858</v>
      </c>
    </row>
    <row r="1869" spans="1:2">
      <c r="A1869">
        <v>1868</v>
      </c>
      <c r="B1869" s="2">
        <v>351.61762720836248</v>
      </c>
    </row>
    <row r="1870" spans="1:2">
      <c r="A1870">
        <v>1869</v>
      </c>
      <c r="B1870" s="2">
        <v>362.24093353152227</v>
      </c>
    </row>
    <row r="1871" spans="1:2">
      <c r="A1871">
        <v>1870</v>
      </c>
      <c r="B1871" s="2">
        <v>380.9377313131659</v>
      </c>
    </row>
    <row r="1872" spans="1:2">
      <c r="A1872">
        <v>1871</v>
      </c>
      <c r="B1872" s="2">
        <v>298.34623572104039</v>
      </c>
    </row>
    <row r="1873" spans="1:2">
      <c r="A1873">
        <v>1872</v>
      </c>
      <c r="B1873" s="2">
        <v>332.43521207743117</v>
      </c>
    </row>
    <row r="1874" spans="1:2">
      <c r="A1874">
        <v>1873</v>
      </c>
      <c r="B1874" s="2">
        <v>340.40363480346241</v>
      </c>
    </row>
    <row r="1875" spans="1:2">
      <c r="A1875">
        <v>1874</v>
      </c>
      <c r="B1875" s="2">
        <v>319.46971608378868</v>
      </c>
    </row>
    <row r="1876" spans="1:2">
      <c r="A1876">
        <v>1875</v>
      </c>
      <c r="B1876" s="2">
        <v>461.61677113288255</v>
      </c>
    </row>
    <row r="1877" spans="1:2">
      <c r="A1877">
        <v>1876</v>
      </c>
      <c r="B1877" s="2">
        <v>328.23617058857644</v>
      </c>
    </row>
    <row r="1878" spans="1:2">
      <c r="A1878">
        <v>1877</v>
      </c>
      <c r="B1878" s="2">
        <v>424.97430788374959</v>
      </c>
    </row>
    <row r="1879" spans="1:2">
      <c r="A1879">
        <v>1878</v>
      </c>
      <c r="B1879" s="2">
        <v>304.29044541837987</v>
      </c>
    </row>
    <row r="1880" spans="1:2">
      <c r="A1880">
        <v>1879</v>
      </c>
      <c r="B1880" s="2">
        <v>266.59037671921664</v>
      </c>
    </row>
    <row r="1881" spans="1:2">
      <c r="A1881">
        <v>1880</v>
      </c>
      <c r="B1881" s="2">
        <v>323.8012671727048</v>
      </c>
    </row>
    <row r="1882" spans="1:2">
      <c r="A1882">
        <v>1881</v>
      </c>
      <c r="B1882" s="2">
        <v>330.19239806617384</v>
      </c>
    </row>
    <row r="1883" spans="1:2">
      <c r="A1883">
        <v>1882</v>
      </c>
      <c r="B1883" s="2">
        <v>462.12950484494104</v>
      </c>
    </row>
    <row r="1884" spans="1:2">
      <c r="A1884">
        <v>1883</v>
      </c>
      <c r="B1884" s="2">
        <v>284.41499580738451</v>
      </c>
    </row>
    <row r="1885" spans="1:2">
      <c r="A1885">
        <v>1884</v>
      </c>
      <c r="B1885" s="2">
        <v>371.48100551198354</v>
      </c>
    </row>
    <row r="1886" spans="1:2">
      <c r="A1886">
        <v>1885</v>
      </c>
      <c r="B1886" s="2">
        <v>357.132398048418</v>
      </c>
    </row>
    <row r="1887" spans="1:2">
      <c r="A1887">
        <v>1886</v>
      </c>
      <c r="B1887" s="2">
        <v>179.4985380933276</v>
      </c>
    </row>
    <row r="1888" spans="1:2">
      <c r="A1888">
        <v>1887</v>
      </c>
      <c r="B1888" s="2">
        <v>310.90046474969182</v>
      </c>
    </row>
    <row r="1889" spans="1:2">
      <c r="A1889">
        <v>1888</v>
      </c>
      <c r="B1889" s="2">
        <v>384.83478794379192</v>
      </c>
    </row>
    <row r="1890" spans="1:2">
      <c r="A1890">
        <v>1889</v>
      </c>
      <c r="B1890" s="2">
        <v>242.05074880341556</v>
      </c>
    </row>
    <row r="1891" spans="1:2">
      <c r="A1891">
        <v>1890</v>
      </c>
      <c r="B1891" s="2">
        <v>315.96450581521805</v>
      </c>
    </row>
    <row r="1892" spans="1:2">
      <c r="A1892">
        <v>1891</v>
      </c>
      <c r="B1892" s="2">
        <v>348.30221779167164</v>
      </c>
    </row>
    <row r="1893" spans="1:2">
      <c r="A1893">
        <v>1892</v>
      </c>
      <c r="B1893" s="2">
        <v>388.72558358359584</v>
      </c>
    </row>
    <row r="1894" spans="1:2">
      <c r="A1894">
        <v>1893</v>
      </c>
      <c r="B1894" s="2">
        <v>138.08517503947132</v>
      </c>
    </row>
    <row r="1895" spans="1:2">
      <c r="A1895">
        <v>1894</v>
      </c>
      <c r="B1895" s="2">
        <v>314.40822729616929</v>
      </c>
    </row>
    <row r="1896" spans="1:2">
      <c r="A1896">
        <v>1895</v>
      </c>
      <c r="B1896" s="2">
        <v>361.66406111066885</v>
      </c>
    </row>
    <row r="1897" spans="1:2">
      <c r="A1897">
        <v>1896</v>
      </c>
      <c r="B1897" s="2">
        <v>381.97924376294156</v>
      </c>
    </row>
    <row r="1898" spans="1:2">
      <c r="A1898">
        <v>1897</v>
      </c>
      <c r="B1898" s="2">
        <v>285.18713753303666</v>
      </c>
    </row>
    <row r="1899" spans="1:2">
      <c r="A1899">
        <v>1898</v>
      </c>
      <c r="B1899" s="2">
        <v>345.71795989662752</v>
      </c>
    </row>
    <row r="1900" spans="1:2">
      <c r="A1900">
        <v>1899</v>
      </c>
      <c r="B1900" s="2">
        <v>142.85718247360467</v>
      </c>
    </row>
    <row r="1901" spans="1:2">
      <c r="A1901">
        <v>1900</v>
      </c>
      <c r="B1901" s="2">
        <v>272.87191340481036</v>
      </c>
    </row>
    <row r="1902" spans="1:2">
      <c r="A1902">
        <v>1901</v>
      </c>
      <c r="B1902" s="2">
        <v>269.40963581597737</v>
      </c>
    </row>
    <row r="1903" spans="1:2">
      <c r="A1903">
        <v>1902</v>
      </c>
      <c r="B1903" s="2">
        <v>124.39113235837797</v>
      </c>
    </row>
    <row r="1904" spans="1:2">
      <c r="A1904">
        <v>1903</v>
      </c>
      <c r="B1904" s="2">
        <v>270.77816892720676</v>
      </c>
    </row>
    <row r="1905" spans="1:2">
      <c r="A1905">
        <v>1904</v>
      </c>
      <c r="B1905" s="2">
        <v>399.47399508157321</v>
      </c>
    </row>
    <row r="1906" spans="1:2">
      <c r="A1906">
        <v>1905</v>
      </c>
      <c r="B1906" s="2">
        <v>207.00489441990598</v>
      </c>
    </row>
    <row r="1907" spans="1:2">
      <c r="A1907">
        <v>1906</v>
      </c>
      <c r="B1907" s="2">
        <v>383.95058631822582</v>
      </c>
    </row>
    <row r="1908" spans="1:2">
      <c r="A1908">
        <v>1907</v>
      </c>
      <c r="B1908" s="2">
        <v>337.2161597676502</v>
      </c>
    </row>
    <row r="1909" spans="1:2">
      <c r="A1909">
        <v>1908</v>
      </c>
      <c r="B1909" s="2">
        <v>290.57970413965842</v>
      </c>
    </row>
    <row r="1910" spans="1:2">
      <c r="A1910">
        <v>1909</v>
      </c>
      <c r="B1910" s="2">
        <v>373.16683575326385</v>
      </c>
    </row>
    <row r="1911" spans="1:2">
      <c r="A1911">
        <v>1910</v>
      </c>
      <c r="B1911" s="2">
        <v>307.07010874560933</v>
      </c>
    </row>
    <row r="1912" spans="1:2">
      <c r="A1912">
        <v>1911</v>
      </c>
      <c r="B1912" s="2">
        <v>325.28457732217055</v>
      </c>
    </row>
    <row r="1913" spans="1:2">
      <c r="A1913">
        <v>1912</v>
      </c>
      <c r="B1913" s="2">
        <v>285.20385007423266</v>
      </c>
    </row>
    <row r="1914" spans="1:2">
      <c r="A1914">
        <v>1913</v>
      </c>
      <c r="B1914" s="2">
        <v>358.71206500891844</v>
      </c>
    </row>
    <row r="1915" spans="1:2">
      <c r="A1915">
        <v>1914</v>
      </c>
      <c r="B1915" s="2">
        <v>169.61252573250542</v>
      </c>
    </row>
    <row r="1916" spans="1:2">
      <c r="A1916">
        <v>1915</v>
      </c>
      <c r="B1916" s="2">
        <v>251.34030557350957</v>
      </c>
    </row>
    <row r="1917" spans="1:2">
      <c r="A1917">
        <v>1916</v>
      </c>
      <c r="B1917" s="2">
        <v>504.91237952286235</v>
      </c>
    </row>
    <row r="1918" spans="1:2">
      <c r="A1918">
        <v>1917</v>
      </c>
      <c r="B1918" s="2">
        <v>396.4504358266837</v>
      </c>
    </row>
    <row r="1919" spans="1:2">
      <c r="A1919">
        <v>1918</v>
      </c>
      <c r="B1919" s="2">
        <v>309.93597252699948</v>
      </c>
    </row>
    <row r="1920" spans="1:2">
      <c r="A1920">
        <v>1919</v>
      </c>
      <c r="B1920" s="2">
        <v>249.57857727651771</v>
      </c>
    </row>
    <row r="1921" spans="1:2">
      <c r="A1921">
        <v>1920</v>
      </c>
      <c r="B1921" s="2">
        <v>328.08046741222915</v>
      </c>
    </row>
    <row r="1922" spans="1:2">
      <c r="A1922">
        <v>1921</v>
      </c>
      <c r="B1922" s="2">
        <v>440.72569135473577</v>
      </c>
    </row>
    <row r="1923" spans="1:2">
      <c r="A1923">
        <v>1922</v>
      </c>
      <c r="B1923" s="2">
        <v>356.52934518387531</v>
      </c>
    </row>
    <row r="1924" spans="1:2">
      <c r="A1924">
        <v>1923</v>
      </c>
      <c r="B1924" s="2">
        <v>333.04690440010393</v>
      </c>
    </row>
    <row r="1925" spans="1:2">
      <c r="A1925">
        <v>1924</v>
      </c>
      <c r="B1925" s="2">
        <v>234.46815472180049</v>
      </c>
    </row>
    <row r="1926" spans="1:2">
      <c r="A1926">
        <v>1925</v>
      </c>
      <c r="B1926" s="2">
        <v>557.3216163418158</v>
      </c>
    </row>
    <row r="1927" spans="1:2">
      <c r="A1927">
        <v>1926</v>
      </c>
      <c r="B1927" s="2">
        <v>374.68421490195772</v>
      </c>
    </row>
    <row r="1928" spans="1:2">
      <c r="A1928">
        <v>1927</v>
      </c>
      <c r="B1928" s="2">
        <v>340.26819050827021</v>
      </c>
    </row>
    <row r="1929" spans="1:2">
      <c r="A1929">
        <v>1928</v>
      </c>
      <c r="B1929" s="2">
        <v>468.72113903086796</v>
      </c>
    </row>
    <row r="1930" spans="1:2">
      <c r="A1930">
        <v>1929</v>
      </c>
      <c r="B1930" s="2">
        <v>385.56353887537841</v>
      </c>
    </row>
    <row r="1931" spans="1:2">
      <c r="A1931">
        <v>1930</v>
      </c>
      <c r="B1931" s="2">
        <v>225.32611550534074</v>
      </c>
    </row>
    <row r="1932" spans="1:2">
      <c r="A1932">
        <v>1931</v>
      </c>
      <c r="B1932" s="2">
        <v>227.3864407120634</v>
      </c>
    </row>
    <row r="1933" spans="1:2">
      <c r="A1933">
        <v>1932</v>
      </c>
      <c r="B1933" s="2">
        <v>313.42183728509372</v>
      </c>
    </row>
    <row r="1934" spans="1:2">
      <c r="A1934">
        <v>1933</v>
      </c>
      <c r="B1934" s="2">
        <v>364.87399120861653</v>
      </c>
    </row>
    <row r="1935" spans="1:2">
      <c r="A1935">
        <v>1934</v>
      </c>
      <c r="B1935" s="2">
        <v>165.22736171555869</v>
      </c>
    </row>
    <row r="1936" spans="1:2">
      <c r="A1936">
        <v>1935</v>
      </c>
      <c r="B1936" s="2">
        <v>429.80723372298291</v>
      </c>
    </row>
    <row r="1937" spans="1:2">
      <c r="A1937">
        <v>1936</v>
      </c>
      <c r="B1937" s="2">
        <v>394.79918012041094</v>
      </c>
    </row>
    <row r="1938" spans="1:2">
      <c r="A1938">
        <v>1937</v>
      </c>
      <c r="B1938" s="2">
        <v>208.64742338979858</v>
      </c>
    </row>
    <row r="1939" spans="1:2">
      <c r="A1939">
        <v>1938</v>
      </c>
      <c r="B1939" s="2">
        <v>260.08161227260064</v>
      </c>
    </row>
    <row r="1940" spans="1:2">
      <c r="A1940">
        <v>1939</v>
      </c>
      <c r="B1940" s="2">
        <v>423.7618128911248</v>
      </c>
    </row>
    <row r="1941" spans="1:2">
      <c r="A1941">
        <v>1940</v>
      </c>
      <c r="B1941" s="2">
        <v>425.71083430543587</v>
      </c>
    </row>
    <row r="1942" spans="1:2">
      <c r="A1942">
        <v>1941</v>
      </c>
      <c r="B1942" s="2">
        <v>311.88341094792287</v>
      </c>
    </row>
    <row r="1943" spans="1:2">
      <c r="A1943">
        <v>1942</v>
      </c>
      <c r="B1943" s="2">
        <v>434.46890645602724</v>
      </c>
    </row>
    <row r="1944" spans="1:2">
      <c r="A1944">
        <v>1943</v>
      </c>
      <c r="B1944" s="2">
        <v>449.63022073198152</v>
      </c>
    </row>
    <row r="1945" spans="1:2">
      <c r="A1945">
        <v>1944</v>
      </c>
      <c r="B1945" s="2">
        <v>294.44074042737918</v>
      </c>
    </row>
    <row r="1946" spans="1:2">
      <c r="A1946">
        <v>1945</v>
      </c>
      <c r="B1946" s="2">
        <v>347.5483470819043</v>
      </c>
    </row>
    <row r="1947" spans="1:2">
      <c r="A1947">
        <v>1946</v>
      </c>
      <c r="B1947" s="2">
        <v>385.09810641814698</v>
      </c>
    </row>
    <row r="1948" spans="1:2">
      <c r="A1948">
        <v>1947</v>
      </c>
      <c r="B1948" s="2">
        <v>438.62834421367506</v>
      </c>
    </row>
    <row r="1949" spans="1:2">
      <c r="A1949">
        <v>1948</v>
      </c>
      <c r="B1949" s="2">
        <v>422.27979632473284</v>
      </c>
    </row>
    <row r="1950" spans="1:2">
      <c r="A1950">
        <v>1949</v>
      </c>
      <c r="B1950" s="2">
        <v>225.06385692489584</v>
      </c>
    </row>
    <row r="1951" spans="1:2">
      <c r="A1951">
        <v>1950</v>
      </c>
      <c r="B1951" s="2">
        <v>328.2764523487125</v>
      </c>
    </row>
    <row r="1952" spans="1:2">
      <c r="A1952">
        <v>1951</v>
      </c>
      <c r="B1952" s="2">
        <v>556.86008626326509</v>
      </c>
    </row>
    <row r="1953" spans="1:2">
      <c r="A1953">
        <v>1952</v>
      </c>
      <c r="B1953" s="2">
        <v>348.52823776930143</v>
      </c>
    </row>
    <row r="1954" spans="1:2">
      <c r="A1954">
        <v>1953</v>
      </c>
      <c r="B1954" s="2">
        <v>398.02478474758368</v>
      </c>
    </row>
    <row r="1955" spans="1:2">
      <c r="A1955">
        <v>1954</v>
      </c>
      <c r="B1955" s="2">
        <v>504.34246964040909</v>
      </c>
    </row>
    <row r="1956" spans="1:2">
      <c r="A1956">
        <v>1955</v>
      </c>
      <c r="B1956" s="2">
        <v>270.10237101922314</v>
      </c>
    </row>
    <row r="1957" spans="1:2">
      <c r="A1957">
        <v>1956</v>
      </c>
      <c r="B1957" s="2">
        <v>345.02601007878889</v>
      </c>
    </row>
    <row r="1958" spans="1:2">
      <c r="A1958">
        <v>1957</v>
      </c>
      <c r="B1958" s="2">
        <v>363.20624820153432</v>
      </c>
    </row>
    <row r="1959" spans="1:2">
      <c r="A1959">
        <v>1958</v>
      </c>
      <c r="B1959" s="2">
        <v>369.2943087371259</v>
      </c>
    </row>
    <row r="1960" spans="1:2">
      <c r="A1960">
        <v>1959</v>
      </c>
      <c r="B1960" s="2">
        <v>313.53973974192741</v>
      </c>
    </row>
    <row r="1961" spans="1:2">
      <c r="A1961">
        <v>1960</v>
      </c>
      <c r="B1961" s="2">
        <v>210.57092918255159</v>
      </c>
    </row>
    <row r="1962" spans="1:2">
      <c r="A1962">
        <v>1961</v>
      </c>
      <c r="B1962" s="2">
        <v>296.8728558532531</v>
      </c>
    </row>
    <row r="1963" spans="1:2">
      <c r="A1963">
        <v>1962</v>
      </c>
      <c r="B1963" s="2">
        <v>407.38809755948887</v>
      </c>
    </row>
    <row r="1964" spans="1:2">
      <c r="A1964">
        <v>1963</v>
      </c>
      <c r="B1964" s="2">
        <v>303.77656096087526</v>
      </c>
    </row>
    <row r="1965" spans="1:2">
      <c r="A1965">
        <v>1964</v>
      </c>
      <c r="B1965" s="2">
        <v>290.51134096173234</v>
      </c>
    </row>
    <row r="1966" spans="1:2">
      <c r="A1966">
        <v>1965</v>
      </c>
      <c r="B1966" s="2">
        <v>374.29408733122858</v>
      </c>
    </row>
    <row r="1967" spans="1:2">
      <c r="A1967">
        <v>1966</v>
      </c>
      <c r="B1967" s="2">
        <v>339.64879971559202</v>
      </c>
    </row>
    <row r="1968" spans="1:2">
      <c r="A1968">
        <v>1967</v>
      </c>
      <c r="B1968" s="2">
        <v>404.02726703817507</v>
      </c>
    </row>
    <row r="1969" spans="1:2">
      <c r="A1969">
        <v>1968</v>
      </c>
      <c r="B1969" s="2">
        <v>310.89403508773978</v>
      </c>
    </row>
    <row r="1970" spans="1:2">
      <c r="A1970">
        <v>1969</v>
      </c>
      <c r="B1970" s="2">
        <v>362.80031202158</v>
      </c>
    </row>
    <row r="1971" spans="1:2">
      <c r="A1971">
        <v>1970</v>
      </c>
      <c r="B1971" s="2">
        <v>309.1242391372827</v>
      </c>
    </row>
    <row r="1972" spans="1:2">
      <c r="A1972">
        <v>1971</v>
      </c>
      <c r="B1972" s="2">
        <v>317.44766197976566</v>
      </c>
    </row>
    <row r="1973" spans="1:2">
      <c r="A1973">
        <v>1972</v>
      </c>
      <c r="B1973" s="2">
        <v>294.56972468293782</v>
      </c>
    </row>
    <row r="1974" spans="1:2">
      <c r="A1974">
        <v>1973</v>
      </c>
      <c r="B1974" s="2">
        <v>356.7305063774354</v>
      </c>
    </row>
    <row r="1975" spans="1:2">
      <c r="A1975">
        <v>1974</v>
      </c>
      <c r="B1975" s="2">
        <v>205.41153814261978</v>
      </c>
    </row>
    <row r="1976" spans="1:2">
      <c r="A1976">
        <v>1975</v>
      </c>
      <c r="B1976" s="2">
        <v>353.40840661546099</v>
      </c>
    </row>
    <row r="1977" spans="1:2">
      <c r="A1977">
        <v>1976</v>
      </c>
      <c r="B1977" s="2">
        <v>454.03782024035252</v>
      </c>
    </row>
    <row r="1978" spans="1:2">
      <c r="A1978">
        <v>1977</v>
      </c>
      <c r="B1978" s="2">
        <v>358.56501075004462</v>
      </c>
    </row>
    <row r="1979" spans="1:2">
      <c r="A1979">
        <v>1978</v>
      </c>
      <c r="B1979" s="2">
        <v>327.08752853387205</v>
      </c>
    </row>
    <row r="1980" spans="1:2">
      <c r="A1980">
        <v>1979</v>
      </c>
      <c r="B1980" s="2">
        <v>307.05854335598684</v>
      </c>
    </row>
    <row r="1981" spans="1:2">
      <c r="A1981">
        <v>1980</v>
      </c>
      <c r="B1981" s="2">
        <v>320.57630307420754</v>
      </c>
    </row>
    <row r="1982" spans="1:2">
      <c r="A1982">
        <v>1981</v>
      </c>
      <c r="B1982" s="2">
        <v>238.01461767521133</v>
      </c>
    </row>
    <row r="1983" spans="1:2">
      <c r="A1983">
        <v>1982</v>
      </c>
      <c r="B1983" s="2">
        <v>381.18105447108826</v>
      </c>
    </row>
    <row r="1984" spans="1:2">
      <c r="A1984">
        <v>1983</v>
      </c>
      <c r="B1984" s="2">
        <v>412.52357698467125</v>
      </c>
    </row>
    <row r="1985" spans="1:2">
      <c r="A1985">
        <v>1984</v>
      </c>
      <c r="B1985" s="2">
        <v>361.30604912610818</v>
      </c>
    </row>
    <row r="1986" spans="1:2">
      <c r="A1986">
        <v>1985</v>
      </c>
      <c r="B1986" s="2">
        <v>343.99505666482048</v>
      </c>
    </row>
    <row r="1987" spans="1:2">
      <c r="A1987">
        <v>1986</v>
      </c>
      <c r="B1987" s="2">
        <v>509.01522769913379</v>
      </c>
    </row>
    <row r="1988" spans="1:2">
      <c r="A1988">
        <v>1987</v>
      </c>
      <c r="B1988" s="2">
        <v>307.67495141187919</v>
      </c>
    </row>
    <row r="1989" spans="1:2">
      <c r="A1989">
        <v>1988</v>
      </c>
      <c r="B1989" s="2">
        <v>386.88077589510652</v>
      </c>
    </row>
    <row r="1990" spans="1:2">
      <c r="A1990">
        <v>1989</v>
      </c>
      <c r="B1990" s="2">
        <v>409.6468620477026</v>
      </c>
    </row>
    <row r="1991" spans="1:2">
      <c r="A1991">
        <v>1990</v>
      </c>
      <c r="B1991" s="2">
        <v>372.3550387666811</v>
      </c>
    </row>
    <row r="1992" spans="1:2">
      <c r="A1992">
        <v>1991</v>
      </c>
      <c r="B1992" s="2">
        <v>355.34311111276969</v>
      </c>
    </row>
    <row r="1993" spans="1:2">
      <c r="A1993">
        <v>1992</v>
      </c>
      <c r="B1993" s="2">
        <v>296.08043322442069</v>
      </c>
    </row>
    <row r="1994" spans="1:2">
      <c r="A1994">
        <v>1993</v>
      </c>
      <c r="B1994" s="2">
        <v>296.70549270039851</v>
      </c>
    </row>
    <row r="1995" spans="1:2">
      <c r="A1995">
        <v>1994</v>
      </c>
      <c r="B1995" s="2">
        <v>374.2927175470644</v>
      </c>
    </row>
    <row r="1996" spans="1:2">
      <c r="A1996">
        <v>1995</v>
      </c>
      <c r="B1996" s="2">
        <v>410.28599144463595</v>
      </c>
    </row>
    <row r="1997" spans="1:2">
      <c r="A1997">
        <v>1996</v>
      </c>
      <c r="B1997" s="2">
        <v>403.86533203977797</v>
      </c>
    </row>
    <row r="1998" spans="1:2">
      <c r="A1998">
        <v>1997</v>
      </c>
      <c r="B1998" s="2">
        <v>368.34468040063848</v>
      </c>
    </row>
    <row r="1999" spans="1:2">
      <c r="A1999">
        <v>1998</v>
      </c>
      <c r="B1999" s="2">
        <v>373.52314354263763</v>
      </c>
    </row>
    <row r="2000" spans="1:2">
      <c r="A2000">
        <v>1999</v>
      </c>
      <c r="B2000" s="2">
        <v>399.72258313625309</v>
      </c>
    </row>
    <row r="2001" spans="1:2">
      <c r="A2001">
        <v>2000</v>
      </c>
      <c r="B2001" s="2">
        <v>323.02650570763478</v>
      </c>
    </row>
    <row r="2002" spans="1:2">
      <c r="A2002">
        <v>2001</v>
      </c>
      <c r="B2002" s="2">
        <v>305.20512971295443</v>
      </c>
    </row>
    <row r="2003" spans="1:2">
      <c r="A2003">
        <v>2002</v>
      </c>
      <c r="B2003" s="2">
        <v>421.82795538587186</v>
      </c>
    </row>
    <row r="2004" spans="1:2">
      <c r="A2004">
        <v>2003</v>
      </c>
      <c r="B2004" s="2">
        <v>306.10191104080047</v>
      </c>
    </row>
    <row r="2005" spans="1:2">
      <c r="A2005">
        <v>2004</v>
      </c>
      <c r="B2005" s="2">
        <v>342.52654564824991</v>
      </c>
    </row>
    <row r="2006" spans="1:2">
      <c r="A2006">
        <v>2005</v>
      </c>
      <c r="B2006" s="2">
        <v>257.24077289221179</v>
      </c>
    </row>
    <row r="2007" spans="1:2">
      <c r="A2007">
        <v>2006</v>
      </c>
      <c r="B2007" s="2">
        <v>440.32473631277992</v>
      </c>
    </row>
    <row r="2008" spans="1:2">
      <c r="A2008">
        <v>2007</v>
      </c>
      <c r="B2008" s="2">
        <v>335.30965406864061</v>
      </c>
    </row>
    <row r="2009" spans="1:2">
      <c r="A2009">
        <v>2008</v>
      </c>
      <c r="B2009" s="2">
        <v>280.81874569491356</v>
      </c>
    </row>
    <row r="2010" spans="1:2">
      <c r="A2010">
        <v>2009</v>
      </c>
      <c r="B2010" s="2">
        <v>238.00757788314294</v>
      </c>
    </row>
    <row r="2011" spans="1:2">
      <c r="A2011">
        <v>2010</v>
      </c>
      <c r="B2011" s="2">
        <v>353.93156116551302</v>
      </c>
    </row>
    <row r="2012" spans="1:2">
      <c r="A2012">
        <v>2011</v>
      </c>
      <c r="B2012" s="2">
        <v>418.93949410722416</v>
      </c>
    </row>
    <row r="2013" spans="1:2">
      <c r="A2013">
        <v>2012</v>
      </c>
      <c r="B2013" s="2">
        <v>321.26615564061245</v>
      </c>
    </row>
    <row r="2014" spans="1:2">
      <c r="A2014">
        <v>2013</v>
      </c>
      <c r="B2014" s="2">
        <v>227.72572337215999</v>
      </c>
    </row>
    <row r="2015" spans="1:2">
      <c r="A2015">
        <v>2014</v>
      </c>
      <c r="B2015" s="2">
        <v>225.0020949184152</v>
      </c>
    </row>
    <row r="2016" spans="1:2">
      <c r="A2016">
        <v>2015</v>
      </c>
      <c r="B2016" s="2">
        <v>340.48020030462027</v>
      </c>
    </row>
    <row r="2017" spans="1:2">
      <c r="A2017">
        <v>2016</v>
      </c>
      <c r="B2017" s="2">
        <v>393.25138696597077</v>
      </c>
    </row>
    <row r="2018" spans="1:2">
      <c r="A2018">
        <v>2017</v>
      </c>
      <c r="B2018" s="2">
        <v>345.96826400211478</v>
      </c>
    </row>
    <row r="2019" spans="1:2">
      <c r="A2019">
        <v>2018</v>
      </c>
      <c r="B2019" s="2">
        <v>387.20110338860911</v>
      </c>
    </row>
    <row r="2020" spans="1:2">
      <c r="A2020">
        <v>2019</v>
      </c>
      <c r="B2020" s="2">
        <v>448.03168407003858</v>
      </c>
    </row>
    <row r="2021" spans="1:2">
      <c r="A2021">
        <v>2020</v>
      </c>
      <c r="B2021" s="2">
        <v>231.56892304152467</v>
      </c>
    </row>
    <row r="2022" spans="1:2">
      <c r="A2022">
        <v>2021</v>
      </c>
      <c r="B2022" s="2">
        <v>390.49296904414609</v>
      </c>
    </row>
    <row r="2023" spans="1:2">
      <c r="A2023">
        <v>2022</v>
      </c>
      <c r="B2023" s="2">
        <v>373.54359229555627</v>
      </c>
    </row>
    <row r="2024" spans="1:2">
      <c r="A2024">
        <v>2023</v>
      </c>
      <c r="B2024" s="2">
        <v>372.02884487530889</v>
      </c>
    </row>
    <row r="2025" spans="1:2">
      <c r="A2025">
        <v>2024</v>
      </c>
      <c r="B2025" s="2">
        <v>351.0664728378481</v>
      </c>
    </row>
    <row r="2026" spans="1:2">
      <c r="A2026">
        <v>2025</v>
      </c>
      <c r="B2026" s="2">
        <v>409.48202253809905</v>
      </c>
    </row>
    <row r="2027" spans="1:2">
      <c r="A2027">
        <v>2026</v>
      </c>
      <c r="B2027" s="2">
        <v>325.60691070603792</v>
      </c>
    </row>
    <row r="2028" spans="1:2">
      <c r="A2028">
        <v>2027</v>
      </c>
      <c r="B2028" s="2">
        <v>460.15922613635797</v>
      </c>
    </row>
    <row r="2029" spans="1:2">
      <c r="A2029">
        <v>2028</v>
      </c>
      <c r="B2029" s="2">
        <v>526.92095006865907</v>
      </c>
    </row>
    <row r="2030" spans="1:2">
      <c r="A2030">
        <v>2029</v>
      </c>
      <c r="B2030" s="2">
        <v>438.31939717485125</v>
      </c>
    </row>
    <row r="2031" spans="1:2">
      <c r="A2031">
        <v>2030</v>
      </c>
      <c r="B2031" s="2">
        <v>361.07122698251152</v>
      </c>
    </row>
    <row r="2032" spans="1:2">
      <c r="A2032">
        <v>2031</v>
      </c>
      <c r="B2032" s="2">
        <v>378.73560282066455</v>
      </c>
    </row>
    <row r="2033" spans="1:2">
      <c r="A2033">
        <v>2032</v>
      </c>
      <c r="B2033" s="2">
        <v>365.41723835803543</v>
      </c>
    </row>
    <row r="2034" spans="1:2">
      <c r="A2034">
        <v>2033</v>
      </c>
      <c r="B2034" s="2">
        <v>342.77790486218845</v>
      </c>
    </row>
    <row r="2035" spans="1:2">
      <c r="A2035">
        <v>2034</v>
      </c>
      <c r="B2035" s="2">
        <v>249.52774543567969</v>
      </c>
    </row>
    <row r="2036" spans="1:2">
      <c r="A2036">
        <v>2035</v>
      </c>
      <c r="B2036" s="2">
        <v>414.26886362923216</v>
      </c>
    </row>
    <row r="2037" spans="1:2">
      <c r="A2037">
        <v>2036</v>
      </c>
      <c r="B2037" s="2">
        <v>321.17167593876712</v>
      </c>
    </row>
    <row r="2038" spans="1:2">
      <c r="A2038">
        <v>2037</v>
      </c>
      <c r="B2038" s="2">
        <v>341.17418874832259</v>
      </c>
    </row>
    <row r="2039" spans="1:2">
      <c r="A2039">
        <v>2038</v>
      </c>
      <c r="B2039" s="2">
        <v>218.81145985248827</v>
      </c>
    </row>
    <row r="2040" spans="1:2">
      <c r="A2040">
        <v>2039</v>
      </c>
      <c r="B2040" s="2">
        <v>385.08145762738076</v>
      </c>
    </row>
    <row r="2041" spans="1:2">
      <c r="A2041">
        <v>2040</v>
      </c>
      <c r="B2041" s="2">
        <v>336.29663953067978</v>
      </c>
    </row>
    <row r="2042" spans="1:2">
      <c r="A2042">
        <v>2041</v>
      </c>
      <c r="B2042" s="2">
        <v>377.41264068519484</v>
      </c>
    </row>
    <row r="2043" spans="1:2">
      <c r="A2043">
        <v>2042</v>
      </c>
      <c r="B2043" s="2">
        <v>493.62358821752554</v>
      </c>
    </row>
    <row r="2044" spans="1:2">
      <c r="A2044">
        <v>2043</v>
      </c>
      <c r="B2044" s="2">
        <v>492.98328076184498</v>
      </c>
    </row>
    <row r="2045" spans="1:2">
      <c r="A2045">
        <v>2044</v>
      </c>
      <c r="B2045" s="2">
        <v>296.23125691808559</v>
      </c>
    </row>
    <row r="2046" spans="1:2">
      <c r="A2046">
        <v>2045</v>
      </c>
      <c r="B2046" s="2">
        <v>403.06734824802845</v>
      </c>
    </row>
    <row r="2047" spans="1:2">
      <c r="A2047">
        <v>2046</v>
      </c>
      <c r="B2047" s="2">
        <v>384.35166745974789</v>
      </c>
    </row>
    <row r="2048" spans="1:2">
      <c r="A2048">
        <v>2047</v>
      </c>
      <c r="B2048" s="2">
        <v>372.86779664654159</v>
      </c>
    </row>
    <row r="2049" spans="1:2">
      <c r="A2049">
        <v>2048</v>
      </c>
      <c r="B2049" s="2">
        <v>230.40399180830852</v>
      </c>
    </row>
    <row r="2050" spans="1:2">
      <c r="A2050">
        <v>2049</v>
      </c>
      <c r="B2050" s="2">
        <v>356.548603369234</v>
      </c>
    </row>
    <row r="2051" spans="1:2">
      <c r="A2051">
        <v>2050</v>
      </c>
      <c r="B2051" s="2">
        <v>370.82744110425404</v>
      </c>
    </row>
    <row r="2052" spans="1:2">
      <c r="A2052">
        <v>2051</v>
      </c>
      <c r="B2052" s="2">
        <v>409.58639541382939</v>
      </c>
    </row>
    <row r="2053" spans="1:2">
      <c r="A2053">
        <v>2052</v>
      </c>
      <c r="B2053" s="2">
        <v>487.36702765776613</v>
      </c>
    </row>
    <row r="2054" spans="1:2">
      <c r="A2054">
        <v>2053</v>
      </c>
      <c r="B2054" s="2">
        <v>504.71477050028767</v>
      </c>
    </row>
    <row r="2055" spans="1:2">
      <c r="A2055">
        <v>2054</v>
      </c>
      <c r="B2055" s="2">
        <v>376.31937735244151</v>
      </c>
    </row>
    <row r="2056" spans="1:2">
      <c r="A2056">
        <v>2055</v>
      </c>
      <c r="B2056" s="2">
        <v>310.24572299020036</v>
      </c>
    </row>
    <row r="2057" spans="1:2">
      <c r="A2057">
        <v>2056</v>
      </c>
      <c r="B2057" s="2">
        <v>308.45446927938713</v>
      </c>
    </row>
    <row r="2058" spans="1:2">
      <c r="A2058">
        <v>2057</v>
      </c>
      <c r="B2058" s="2">
        <v>409.87186412794154</v>
      </c>
    </row>
    <row r="2059" spans="1:2">
      <c r="A2059">
        <v>2058</v>
      </c>
      <c r="B2059" s="2">
        <v>231.73370859389246</v>
      </c>
    </row>
    <row r="2060" spans="1:2">
      <c r="A2060">
        <v>2059</v>
      </c>
      <c r="B2060" s="2">
        <v>386.72474372235831</v>
      </c>
    </row>
    <row r="2061" spans="1:2">
      <c r="A2061">
        <v>2060</v>
      </c>
      <c r="B2061" s="2">
        <v>447.27206767059101</v>
      </c>
    </row>
    <row r="2062" spans="1:2">
      <c r="A2062">
        <v>2061</v>
      </c>
      <c r="B2062" s="2">
        <v>448.1179193265786</v>
      </c>
    </row>
    <row r="2063" spans="1:2">
      <c r="A2063">
        <v>2062</v>
      </c>
      <c r="B2063" s="2">
        <v>251.02932026883246</v>
      </c>
    </row>
    <row r="2064" spans="1:2">
      <c r="A2064">
        <v>2063</v>
      </c>
      <c r="B2064" s="2">
        <v>293.18188020576679</v>
      </c>
    </row>
    <row r="2065" spans="1:2">
      <c r="A2065">
        <v>2064</v>
      </c>
      <c r="B2065" s="2">
        <v>354.2492143201805</v>
      </c>
    </row>
    <row r="2066" spans="1:2">
      <c r="A2066">
        <v>2065</v>
      </c>
      <c r="B2066" s="2">
        <v>390.53839561861571</v>
      </c>
    </row>
    <row r="2067" spans="1:2">
      <c r="A2067">
        <v>2066</v>
      </c>
      <c r="B2067" s="2">
        <v>347.39643158271753</v>
      </c>
    </row>
    <row r="2068" spans="1:2">
      <c r="A2068">
        <v>2067</v>
      </c>
      <c r="B2068" s="2">
        <v>255.79361130896999</v>
      </c>
    </row>
    <row r="2069" spans="1:2">
      <c r="A2069">
        <v>2068</v>
      </c>
      <c r="B2069" s="2">
        <v>367.56597148086803</v>
      </c>
    </row>
    <row r="2070" spans="1:2">
      <c r="A2070">
        <v>2069</v>
      </c>
      <c r="B2070" s="2">
        <v>260.16929851416199</v>
      </c>
    </row>
    <row r="2071" spans="1:2">
      <c r="A2071">
        <v>2070</v>
      </c>
      <c r="B2071" s="2">
        <v>405.29615735260342</v>
      </c>
    </row>
    <row r="2072" spans="1:2">
      <c r="A2072">
        <v>2071</v>
      </c>
      <c r="B2072" s="2">
        <v>406.45518601757186</v>
      </c>
    </row>
    <row r="2073" spans="1:2">
      <c r="A2073">
        <v>2072</v>
      </c>
      <c r="B2073" s="2">
        <v>389.14307743291295</v>
      </c>
    </row>
    <row r="2074" spans="1:2">
      <c r="A2074">
        <v>2073</v>
      </c>
      <c r="B2074" s="2">
        <v>337.3210911251328</v>
      </c>
    </row>
    <row r="2075" spans="1:2">
      <c r="A2075">
        <v>2074</v>
      </c>
      <c r="B2075" s="2">
        <v>293.64157038575058</v>
      </c>
    </row>
    <row r="2076" spans="1:2">
      <c r="A2076">
        <v>2075</v>
      </c>
      <c r="B2076" s="2">
        <v>435.9770239251726</v>
      </c>
    </row>
    <row r="2077" spans="1:2">
      <c r="A2077">
        <v>2076</v>
      </c>
      <c r="B2077" s="2">
        <v>285.30512651929689</v>
      </c>
    </row>
    <row r="2078" spans="1:2">
      <c r="A2078">
        <v>2077</v>
      </c>
      <c r="B2078" s="2">
        <v>455.77552596521684</v>
      </c>
    </row>
    <row r="2079" spans="1:2">
      <c r="A2079">
        <v>2078</v>
      </c>
      <c r="B2079" s="2">
        <v>332.35471692344265</v>
      </c>
    </row>
    <row r="2080" spans="1:2">
      <c r="A2080">
        <v>2079</v>
      </c>
      <c r="B2080" s="2">
        <v>336.67223057063063</v>
      </c>
    </row>
    <row r="2081" spans="1:2">
      <c r="A2081">
        <v>2080</v>
      </c>
      <c r="B2081" s="2">
        <v>419.98862501511081</v>
      </c>
    </row>
    <row r="2082" spans="1:2">
      <c r="A2082">
        <v>2081</v>
      </c>
      <c r="B2082" s="2">
        <v>231.66727248633464</v>
      </c>
    </row>
    <row r="2083" spans="1:2">
      <c r="A2083">
        <v>2082</v>
      </c>
      <c r="B2083" s="2">
        <v>374.89286651775103</v>
      </c>
    </row>
    <row r="2084" spans="1:2">
      <c r="A2084">
        <v>2083</v>
      </c>
      <c r="B2084" s="2">
        <v>190.39485148498676</v>
      </c>
    </row>
    <row r="2085" spans="1:2">
      <c r="A2085">
        <v>2084</v>
      </c>
      <c r="B2085" s="2">
        <v>232.11529970021851</v>
      </c>
    </row>
    <row r="2086" spans="1:2">
      <c r="A2086">
        <v>2085</v>
      </c>
      <c r="B2086" s="2">
        <v>227.50800931946793</v>
      </c>
    </row>
    <row r="2087" spans="1:2">
      <c r="A2087">
        <v>2086</v>
      </c>
      <c r="B2087" s="2">
        <v>549.53746222798384</v>
      </c>
    </row>
    <row r="2088" spans="1:2">
      <c r="A2088">
        <v>2087</v>
      </c>
      <c r="B2088" s="2">
        <v>333.20719906420987</v>
      </c>
    </row>
    <row r="2089" spans="1:2">
      <c r="A2089">
        <v>2088</v>
      </c>
      <c r="B2089" s="2">
        <v>466.51393844603626</v>
      </c>
    </row>
    <row r="2090" spans="1:2">
      <c r="A2090">
        <v>2089</v>
      </c>
      <c r="B2090" s="2">
        <v>338.25126576966636</v>
      </c>
    </row>
    <row r="2091" spans="1:2">
      <c r="A2091">
        <v>2090</v>
      </c>
      <c r="B2091" s="2">
        <v>354.34095953434132</v>
      </c>
    </row>
    <row r="2092" spans="1:2">
      <c r="A2092">
        <v>2091</v>
      </c>
      <c r="B2092" s="2">
        <v>348.12617944052204</v>
      </c>
    </row>
    <row r="2093" spans="1:2">
      <c r="A2093">
        <v>2092</v>
      </c>
      <c r="B2093" s="2">
        <v>291.6659423783924</v>
      </c>
    </row>
    <row r="2094" spans="1:2">
      <c r="A2094">
        <v>2093</v>
      </c>
      <c r="B2094" s="2">
        <v>169.18677655854492</v>
      </c>
    </row>
    <row r="2095" spans="1:2">
      <c r="A2095">
        <v>2094</v>
      </c>
      <c r="B2095" s="2">
        <v>225.21498833920793</v>
      </c>
    </row>
    <row r="2096" spans="1:2">
      <c r="A2096">
        <v>2095</v>
      </c>
      <c r="B2096" s="2">
        <v>389.79804291608951</v>
      </c>
    </row>
    <row r="2097" spans="1:2">
      <c r="A2097">
        <v>2096</v>
      </c>
      <c r="B2097" s="2">
        <v>294.96046212998959</v>
      </c>
    </row>
    <row r="2098" spans="1:2">
      <c r="A2098">
        <v>2097</v>
      </c>
      <c r="B2098" s="2">
        <v>334.38050751464885</v>
      </c>
    </row>
    <row r="2099" spans="1:2">
      <c r="A2099">
        <v>2098</v>
      </c>
      <c r="B2099" s="2">
        <v>321.48971370884851</v>
      </c>
    </row>
    <row r="2100" spans="1:2">
      <c r="A2100">
        <v>2099</v>
      </c>
      <c r="B2100" s="2">
        <v>296.53529704354537</v>
      </c>
    </row>
    <row r="2101" spans="1:2">
      <c r="A2101">
        <v>2100</v>
      </c>
      <c r="B2101" s="2">
        <v>348.7093396866552</v>
      </c>
    </row>
    <row r="2102" spans="1:2">
      <c r="A2102">
        <v>2101</v>
      </c>
      <c r="B2102" s="2">
        <v>467.9102312226297</v>
      </c>
    </row>
    <row r="2103" spans="1:2">
      <c r="A2103">
        <v>2102</v>
      </c>
      <c r="B2103" s="2">
        <v>504.27419532422675</v>
      </c>
    </row>
    <row r="2104" spans="1:2">
      <c r="A2104">
        <v>2103</v>
      </c>
      <c r="B2104" s="2">
        <v>270.37510465146028</v>
      </c>
    </row>
    <row r="2105" spans="1:2">
      <c r="A2105">
        <v>2104</v>
      </c>
      <c r="B2105" s="2">
        <v>284.99033114998906</v>
      </c>
    </row>
    <row r="2106" spans="1:2">
      <c r="A2106">
        <v>2105</v>
      </c>
      <c r="B2106" s="2">
        <v>399.35683752344892</v>
      </c>
    </row>
    <row r="2107" spans="1:2">
      <c r="A2107">
        <v>2106</v>
      </c>
      <c r="B2107" s="2">
        <v>288.08611593360013</v>
      </c>
    </row>
    <row r="2108" spans="1:2">
      <c r="A2108">
        <v>2107</v>
      </c>
      <c r="B2108" s="2">
        <v>343.42741058980988</v>
      </c>
    </row>
    <row r="2109" spans="1:2">
      <c r="A2109">
        <v>2108</v>
      </c>
      <c r="B2109" s="2">
        <v>190.83800446528147</v>
      </c>
    </row>
    <row r="2110" spans="1:2">
      <c r="A2110">
        <v>2109</v>
      </c>
      <c r="B2110" s="2">
        <v>420.38996678016184</v>
      </c>
    </row>
    <row r="2111" spans="1:2">
      <c r="A2111">
        <v>2110</v>
      </c>
      <c r="B2111" s="2">
        <v>424.62174196964997</v>
      </c>
    </row>
    <row r="2112" spans="1:2">
      <c r="A2112">
        <v>2111</v>
      </c>
      <c r="B2112" s="2">
        <v>333.44945517300096</v>
      </c>
    </row>
    <row r="2113" spans="1:2">
      <c r="A2113">
        <v>2112</v>
      </c>
      <c r="B2113" s="2">
        <v>421.74497459165184</v>
      </c>
    </row>
    <row r="2114" spans="1:2">
      <c r="A2114">
        <v>2113</v>
      </c>
      <c r="B2114" s="2">
        <v>463.70325922924724</v>
      </c>
    </row>
    <row r="2115" spans="1:2">
      <c r="A2115">
        <v>2114</v>
      </c>
      <c r="B2115" s="2">
        <v>184.78424019707262</v>
      </c>
    </row>
    <row r="2116" spans="1:2">
      <c r="A2116">
        <v>2115</v>
      </c>
      <c r="B2116" s="2">
        <v>401.63146230914413</v>
      </c>
    </row>
    <row r="2117" spans="1:2">
      <c r="A2117">
        <v>2116</v>
      </c>
      <c r="B2117" s="2">
        <v>307.01285122326487</v>
      </c>
    </row>
    <row r="2118" spans="1:2">
      <c r="A2118">
        <v>2117</v>
      </c>
      <c r="B2118" s="2">
        <v>308.44471690087983</v>
      </c>
    </row>
    <row r="2119" spans="1:2">
      <c r="A2119">
        <v>2118</v>
      </c>
      <c r="B2119" s="2">
        <v>277.11588794022987</v>
      </c>
    </row>
    <row r="2120" spans="1:2">
      <c r="A2120">
        <v>2119</v>
      </c>
      <c r="B2120" s="2">
        <v>345.63145976855031</v>
      </c>
    </row>
    <row r="2121" spans="1:2">
      <c r="A2121">
        <v>2120</v>
      </c>
      <c r="B2121" s="2">
        <v>453.47738324971408</v>
      </c>
    </row>
    <row r="2122" spans="1:2">
      <c r="A2122">
        <v>2121</v>
      </c>
      <c r="B2122" s="2">
        <v>365.62330905703857</v>
      </c>
    </row>
    <row r="2123" spans="1:2">
      <c r="A2123">
        <v>2122</v>
      </c>
      <c r="B2123" s="2">
        <v>362.28038097317028</v>
      </c>
    </row>
    <row r="2124" spans="1:2">
      <c r="A2124">
        <v>2123</v>
      </c>
      <c r="B2124" s="2">
        <v>532.69050582870386</v>
      </c>
    </row>
    <row r="2125" spans="1:2">
      <c r="A2125">
        <v>2124</v>
      </c>
      <c r="B2125" s="2">
        <v>280.36434921082639</v>
      </c>
    </row>
    <row r="2126" spans="1:2">
      <c r="A2126">
        <v>2125</v>
      </c>
      <c r="B2126" s="2">
        <v>294.02627102356621</v>
      </c>
    </row>
    <row r="2127" spans="1:2">
      <c r="A2127">
        <v>2126</v>
      </c>
      <c r="B2127" s="2">
        <v>332.80693069332449</v>
      </c>
    </row>
    <row r="2128" spans="1:2">
      <c r="A2128">
        <v>2127</v>
      </c>
      <c r="B2128" s="2">
        <v>260.76230457818571</v>
      </c>
    </row>
    <row r="2129" spans="1:2">
      <c r="A2129">
        <v>2128</v>
      </c>
      <c r="B2129" s="2">
        <v>506.14719841764486</v>
      </c>
    </row>
    <row r="2130" spans="1:2">
      <c r="A2130">
        <v>2129</v>
      </c>
      <c r="B2130" s="2">
        <v>231.17846422150137</v>
      </c>
    </row>
    <row r="2131" spans="1:2">
      <c r="A2131">
        <v>2130</v>
      </c>
      <c r="B2131" s="2">
        <v>357.66824702732663</v>
      </c>
    </row>
    <row r="2132" spans="1:2">
      <c r="A2132">
        <v>2131</v>
      </c>
      <c r="B2132" s="2">
        <v>284.17240667663003</v>
      </c>
    </row>
    <row r="2133" spans="1:2">
      <c r="A2133">
        <v>2132</v>
      </c>
      <c r="B2133" s="2">
        <v>481.42780004154616</v>
      </c>
    </row>
    <row r="2134" spans="1:2">
      <c r="A2134">
        <v>2133</v>
      </c>
      <c r="B2134" s="2">
        <v>366.1571536777293</v>
      </c>
    </row>
    <row r="2135" spans="1:2">
      <c r="A2135">
        <v>2134</v>
      </c>
      <c r="B2135" s="2">
        <v>362.63071198716955</v>
      </c>
    </row>
    <row r="2136" spans="1:2">
      <c r="A2136">
        <v>2135</v>
      </c>
      <c r="B2136" s="2">
        <v>296.40736067274855</v>
      </c>
    </row>
    <row r="2137" spans="1:2">
      <c r="A2137">
        <v>2136</v>
      </c>
      <c r="B2137" s="2">
        <v>335.12680861807803</v>
      </c>
    </row>
    <row r="2138" spans="1:2">
      <c r="A2138">
        <v>2137</v>
      </c>
      <c r="B2138" s="2">
        <v>416.78921437601281</v>
      </c>
    </row>
    <row r="2139" spans="1:2">
      <c r="A2139">
        <v>2138</v>
      </c>
      <c r="B2139" s="2">
        <v>152.91826378937949</v>
      </c>
    </row>
    <row r="2140" spans="1:2">
      <c r="A2140">
        <v>2139</v>
      </c>
      <c r="B2140" s="2">
        <v>224.61464905503229</v>
      </c>
    </row>
    <row r="2141" spans="1:2">
      <c r="A2141">
        <v>2140</v>
      </c>
      <c r="B2141" s="2">
        <v>282.48111062381247</v>
      </c>
    </row>
    <row r="2142" spans="1:2">
      <c r="A2142">
        <v>2141</v>
      </c>
      <c r="B2142" s="2">
        <v>274.7528753225788</v>
      </c>
    </row>
    <row r="2143" spans="1:2">
      <c r="A2143">
        <v>2142</v>
      </c>
      <c r="B2143" s="2">
        <v>449.74688856601472</v>
      </c>
    </row>
    <row r="2144" spans="1:2">
      <c r="A2144">
        <v>2143</v>
      </c>
      <c r="B2144" s="2">
        <v>421.27636241772063</v>
      </c>
    </row>
    <row r="2145" spans="1:2">
      <c r="A2145">
        <v>2144</v>
      </c>
      <c r="B2145" s="2">
        <v>360.41875855607213</v>
      </c>
    </row>
    <row r="2146" spans="1:2">
      <c r="A2146">
        <v>2145</v>
      </c>
      <c r="B2146" s="2">
        <v>348.53693794150212</v>
      </c>
    </row>
    <row r="2147" spans="1:2">
      <c r="A2147">
        <v>2146</v>
      </c>
      <c r="B2147" s="2">
        <v>348.59024343306658</v>
      </c>
    </row>
    <row r="2148" spans="1:2">
      <c r="A2148">
        <v>2147</v>
      </c>
      <c r="B2148" s="2">
        <v>361.73204197507908</v>
      </c>
    </row>
    <row r="2149" spans="1:2">
      <c r="A2149">
        <v>2148</v>
      </c>
      <c r="B2149" s="2">
        <v>449.76255438265218</v>
      </c>
    </row>
    <row r="2150" spans="1:2">
      <c r="A2150">
        <v>2149</v>
      </c>
      <c r="B2150" s="2">
        <v>407.92246321657166</v>
      </c>
    </row>
    <row r="2151" spans="1:2">
      <c r="A2151">
        <v>2150</v>
      </c>
      <c r="B2151" s="2">
        <v>322.7149024712906</v>
      </c>
    </row>
    <row r="2152" spans="1:2">
      <c r="A2152">
        <v>2151</v>
      </c>
      <c r="B2152" s="2">
        <v>266.96399815292529</v>
      </c>
    </row>
    <row r="2153" spans="1:2">
      <c r="A2153">
        <v>2152</v>
      </c>
      <c r="B2153" s="2">
        <v>491.58948265783806</v>
      </c>
    </row>
    <row r="2154" spans="1:2">
      <c r="A2154">
        <v>2153</v>
      </c>
      <c r="B2154" s="2">
        <v>390.24676881870738</v>
      </c>
    </row>
    <row r="2155" spans="1:2">
      <c r="A2155">
        <v>2154</v>
      </c>
      <c r="B2155" s="2">
        <v>368.90138343547591</v>
      </c>
    </row>
    <row r="2156" spans="1:2">
      <c r="A2156">
        <v>2155</v>
      </c>
      <c r="B2156" s="2">
        <v>246.15994200966162</v>
      </c>
    </row>
    <row r="2157" spans="1:2">
      <c r="A2157">
        <v>2156</v>
      </c>
      <c r="B2157" s="2">
        <v>262.54372521022066</v>
      </c>
    </row>
    <row r="2158" spans="1:2">
      <c r="A2158">
        <v>2157</v>
      </c>
      <c r="B2158" s="2">
        <v>408.30702648516916</v>
      </c>
    </row>
    <row r="2159" spans="1:2">
      <c r="A2159">
        <v>2158</v>
      </c>
      <c r="B2159" s="2">
        <v>258.23189210193794</v>
      </c>
    </row>
    <row r="2160" spans="1:2">
      <c r="A2160">
        <v>2159</v>
      </c>
      <c r="B2160" s="2">
        <v>287.61363737914371</v>
      </c>
    </row>
    <row r="2161" spans="1:2">
      <c r="A2161">
        <v>2160</v>
      </c>
      <c r="B2161" s="2">
        <v>512.87861506185595</v>
      </c>
    </row>
    <row r="2162" spans="1:2">
      <c r="A2162">
        <v>2161</v>
      </c>
      <c r="B2162" s="2">
        <v>260.17154994039629</v>
      </c>
    </row>
    <row r="2163" spans="1:2">
      <c r="A2163">
        <v>2162</v>
      </c>
      <c r="B2163" s="2">
        <v>249.86608363845545</v>
      </c>
    </row>
    <row r="2164" spans="1:2">
      <c r="A2164">
        <v>2163</v>
      </c>
      <c r="B2164" s="2">
        <v>172.13322305123091</v>
      </c>
    </row>
    <row r="2165" spans="1:2">
      <c r="A2165">
        <v>2164</v>
      </c>
      <c r="B2165" s="2">
        <v>252.80811523192557</v>
      </c>
    </row>
    <row r="2166" spans="1:2">
      <c r="A2166">
        <v>2165</v>
      </c>
      <c r="B2166" s="2">
        <v>301.82352572007215</v>
      </c>
    </row>
    <row r="2167" spans="1:2">
      <c r="A2167">
        <v>2166</v>
      </c>
      <c r="B2167" s="2">
        <v>351.82220439049814</v>
      </c>
    </row>
    <row r="2168" spans="1:2">
      <c r="A2168">
        <v>2167</v>
      </c>
      <c r="B2168" s="2">
        <v>272.48991401420568</v>
      </c>
    </row>
    <row r="2169" spans="1:2">
      <c r="A2169">
        <v>2168</v>
      </c>
      <c r="B2169" s="2">
        <v>410.64498529304416</v>
      </c>
    </row>
    <row r="2170" spans="1:2">
      <c r="A2170">
        <v>2169</v>
      </c>
      <c r="B2170" s="2">
        <v>238.08755447226713</v>
      </c>
    </row>
    <row r="2171" spans="1:2">
      <c r="A2171">
        <v>2170</v>
      </c>
      <c r="B2171" s="2">
        <v>321.90212981172886</v>
      </c>
    </row>
    <row r="2172" spans="1:2">
      <c r="A2172">
        <v>2171</v>
      </c>
      <c r="B2172" s="2">
        <v>272.19381810207119</v>
      </c>
    </row>
    <row r="2173" spans="1:2">
      <c r="A2173">
        <v>2172</v>
      </c>
      <c r="B2173" s="2">
        <v>349.70469993841618</v>
      </c>
    </row>
    <row r="2174" spans="1:2">
      <c r="A2174">
        <v>2173</v>
      </c>
      <c r="B2174" s="2">
        <v>315.01008813084223</v>
      </c>
    </row>
    <row r="2175" spans="1:2">
      <c r="A2175">
        <v>2174</v>
      </c>
      <c r="B2175" s="2">
        <v>287.91604643253606</v>
      </c>
    </row>
    <row r="2176" spans="1:2">
      <c r="A2176">
        <v>2175</v>
      </c>
      <c r="B2176" s="2">
        <v>217.98854321534509</v>
      </c>
    </row>
    <row r="2177" spans="1:2">
      <c r="A2177">
        <v>2176</v>
      </c>
      <c r="B2177" s="2">
        <v>353.84448657265648</v>
      </c>
    </row>
    <row r="2178" spans="1:2">
      <c r="A2178">
        <v>2177</v>
      </c>
      <c r="B2178" s="2">
        <v>293.95348285978082</v>
      </c>
    </row>
    <row r="2179" spans="1:2">
      <c r="A2179">
        <v>2178</v>
      </c>
      <c r="B2179" s="2">
        <v>316.64015345326254</v>
      </c>
    </row>
    <row r="2180" spans="1:2">
      <c r="A2180">
        <v>2179</v>
      </c>
      <c r="B2180" s="2">
        <v>360.36643505310445</v>
      </c>
    </row>
    <row r="2181" spans="1:2">
      <c r="A2181">
        <v>2180</v>
      </c>
      <c r="B2181" s="2">
        <v>311.39651828470915</v>
      </c>
    </row>
    <row r="2182" spans="1:2">
      <c r="A2182">
        <v>2181</v>
      </c>
      <c r="B2182" s="2">
        <v>331.65787194528218</v>
      </c>
    </row>
    <row r="2183" spans="1:2">
      <c r="A2183">
        <v>2182</v>
      </c>
      <c r="B2183" s="2">
        <v>299.91628937906671</v>
      </c>
    </row>
    <row r="2184" spans="1:2">
      <c r="A2184">
        <v>2183</v>
      </c>
      <c r="B2184" s="2">
        <v>300.14294733808094</v>
      </c>
    </row>
    <row r="2185" spans="1:2">
      <c r="A2185">
        <v>2184</v>
      </c>
      <c r="B2185" s="2">
        <v>223.32168875026059</v>
      </c>
    </row>
    <row r="2186" spans="1:2">
      <c r="A2186">
        <v>2185</v>
      </c>
      <c r="B2186" s="2">
        <v>307.65135901827864</v>
      </c>
    </row>
    <row r="2187" spans="1:2">
      <c r="A2187">
        <v>2186</v>
      </c>
      <c r="B2187" s="2">
        <v>498.33707799114507</v>
      </c>
    </row>
    <row r="2188" spans="1:2">
      <c r="A2188">
        <v>2187</v>
      </c>
      <c r="B2188" s="2">
        <v>238.23905404276641</v>
      </c>
    </row>
    <row r="2189" spans="1:2">
      <c r="A2189">
        <v>2188</v>
      </c>
      <c r="B2189" s="2">
        <v>255.29851663813656</v>
      </c>
    </row>
    <row r="2190" spans="1:2">
      <c r="A2190">
        <v>2189</v>
      </c>
      <c r="B2190" s="2">
        <v>360.04599917779615</v>
      </c>
    </row>
    <row r="2191" spans="1:2">
      <c r="A2191">
        <v>2190</v>
      </c>
      <c r="B2191" s="2">
        <v>413.75906605280818</v>
      </c>
    </row>
    <row r="2192" spans="1:2">
      <c r="A2192">
        <v>2191</v>
      </c>
      <c r="B2192" s="2">
        <v>361.18790318006688</v>
      </c>
    </row>
    <row r="2193" spans="1:2">
      <c r="A2193">
        <v>2192</v>
      </c>
      <c r="B2193" s="2">
        <v>445.34661887218607</v>
      </c>
    </row>
    <row r="2194" spans="1:2">
      <c r="A2194">
        <v>2193</v>
      </c>
      <c r="B2194" s="2">
        <v>380.0733373030348</v>
      </c>
    </row>
    <row r="2195" spans="1:2">
      <c r="A2195">
        <v>2194</v>
      </c>
      <c r="B2195" s="2">
        <v>474.88282193887528</v>
      </c>
    </row>
    <row r="2196" spans="1:2">
      <c r="A2196">
        <v>2195</v>
      </c>
      <c r="B2196" s="2">
        <v>281.25890204829784</v>
      </c>
    </row>
    <row r="2197" spans="1:2">
      <c r="A2197">
        <v>2196</v>
      </c>
      <c r="B2197" s="2">
        <v>358.22723554061594</v>
      </c>
    </row>
    <row r="2198" spans="1:2">
      <c r="A2198">
        <v>2197</v>
      </c>
      <c r="B2198" s="2">
        <v>425.01404954230236</v>
      </c>
    </row>
    <row r="2199" spans="1:2">
      <c r="A2199">
        <v>2198</v>
      </c>
      <c r="B2199" s="2">
        <v>386.61063445878119</v>
      </c>
    </row>
    <row r="2200" spans="1:2">
      <c r="A2200">
        <v>2199</v>
      </c>
      <c r="B2200" s="2">
        <v>323.10699817814611</v>
      </c>
    </row>
    <row r="2201" spans="1:2">
      <c r="A2201">
        <v>2200</v>
      </c>
      <c r="B2201" s="2">
        <v>563.66917715637396</v>
      </c>
    </row>
    <row r="2202" spans="1:2">
      <c r="A2202">
        <v>2201</v>
      </c>
      <c r="B2202" s="2">
        <v>177.70879072335174</v>
      </c>
    </row>
    <row r="2203" spans="1:2">
      <c r="A2203">
        <v>2202</v>
      </c>
      <c r="B2203" s="2">
        <v>303.74946834626695</v>
      </c>
    </row>
    <row r="2204" spans="1:2">
      <c r="A2204">
        <v>2203</v>
      </c>
      <c r="B2204" s="2">
        <v>298.20570071384094</v>
      </c>
    </row>
    <row r="2205" spans="1:2">
      <c r="A2205">
        <v>2204</v>
      </c>
      <c r="B2205" s="2">
        <v>258.59899495645391</v>
      </c>
    </row>
    <row r="2206" spans="1:2">
      <c r="A2206">
        <v>2205</v>
      </c>
      <c r="B2206" s="2">
        <v>468.2919061975881</v>
      </c>
    </row>
    <row r="2207" spans="1:2">
      <c r="A2207">
        <v>2206</v>
      </c>
      <c r="B2207" s="2">
        <v>433.48533659639224</v>
      </c>
    </row>
    <row r="2208" spans="1:2">
      <c r="A2208">
        <v>2207</v>
      </c>
      <c r="B2208" s="2">
        <v>480.70389183182971</v>
      </c>
    </row>
    <row r="2209" spans="1:2">
      <c r="A2209">
        <v>2208</v>
      </c>
      <c r="B2209" s="2">
        <v>272.26589461040834</v>
      </c>
    </row>
    <row r="2210" spans="1:2">
      <c r="A2210">
        <v>2209</v>
      </c>
      <c r="B2210" s="2">
        <v>203.4440669220167</v>
      </c>
    </row>
    <row r="2211" spans="1:2">
      <c r="A2211">
        <v>2210</v>
      </c>
      <c r="B2211" s="2">
        <v>373.79660372772145</v>
      </c>
    </row>
    <row r="2212" spans="1:2">
      <c r="A2212">
        <v>2211</v>
      </c>
      <c r="B2212" s="2">
        <v>346.66403476289236</v>
      </c>
    </row>
    <row r="2213" spans="1:2">
      <c r="A2213">
        <v>2212</v>
      </c>
      <c r="B2213" s="2">
        <v>312.09309128535801</v>
      </c>
    </row>
    <row r="2214" spans="1:2">
      <c r="A2214">
        <v>2213</v>
      </c>
      <c r="B2214" s="2">
        <v>365.59780578866025</v>
      </c>
    </row>
    <row r="2215" spans="1:2">
      <c r="A2215">
        <v>2214</v>
      </c>
      <c r="B2215" s="2">
        <v>491.15025795064037</v>
      </c>
    </row>
    <row r="2216" spans="1:2">
      <c r="A2216">
        <v>2215</v>
      </c>
      <c r="B2216" s="2">
        <v>223.03634276807901</v>
      </c>
    </row>
    <row r="2217" spans="1:2">
      <c r="A2217">
        <v>2216</v>
      </c>
      <c r="B2217" s="2">
        <v>487.52674453876318</v>
      </c>
    </row>
    <row r="2218" spans="1:2">
      <c r="A2218">
        <v>2217</v>
      </c>
      <c r="B2218" s="2">
        <v>417.93679845051076</v>
      </c>
    </row>
    <row r="2219" spans="1:2">
      <c r="A2219">
        <v>2218</v>
      </c>
      <c r="B2219" s="2">
        <v>314.44170189367031</v>
      </c>
    </row>
    <row r="2220" spans="1:2">
      <c r="A2220">
        <v>2219</v>
      </c>
      <c r="B2220" s="2">
        <v>445.31910807723443</v>
      </c>
    </row>
    <row r="2221" spans="1:2">
      <c r="A2221">
        <v>2220</v>
      </c>
      <c r="B2221" s="2">
        <v>449.00179917064929</v>
      </c>
    </row>
    <row r="2222" spans="1:2">
      <c r="A2222">
        <v>2221</v>
      </c>
      <c r="B2222" s="2">
        <v>296.13617154648102</v>
      </c>
    </row>
    <row r="2223" spans="1:2">
      <c r="A2223">
        <v>2222</v>
      </c>
      <c r="B2223" s="2">
        <v>401.85097935886017</v>
      </c>
    </row>
    <row r="2224" spans="1:2">
      <c r="A2224">
        <v>2223</v>
      </c>
      <c r="B2224" s="2">
        <v>425.02068492812163</v>
      </c>
    </row>
    <row r="2225" spans="1:2">
      <c r="A2225">
        <v>2224</v>
      </c>
      <c r="B2225" s="2">
        <v>344.26396853527899</v>
      </c>
    </row>
    <row r="2226" spans="1:2">
      <c r="A2226">
        <v>2225</v>
      </c>
      <c r="B2226" s="2">
        <v>272.6090086864433</v>
      </c>
    </row>
    <row r="2227" spans="1:2">
      <c r="A2227">
        <v>2226</v>
      </c>
      <c r="B2227" s="2">
        <v>300.39062611768531</v>
      </c>
    </row>
    <row r="2228" spans="1:2">
      <c r="A2228">
        <v>2227</v>
      </c>
      <c r="B2228" s="2">
        <v>379.23837721349821</v>
      </c>
    </row>
    <row r="2229" spans="1:2">
      <c r="A2229">
        <v>2228</v>
      </c>
      <c r="B2229" s="2">
        <v>269.34369584740068</v>
      </c>
    </row>
    <row r="2230" spans="1:2">
      <c r="A2230">
        <v>2229</v>
      </c>
      <c r="B2230" s="2">
        <v>269.40980833611673</v>
      </c>
    </row>
    <row r="2231" spans="1:2">
      <c r="A2231">
        <v>2230</v>
      </c>
      <c r="B2231" s="2">
        <v>267.40760312876165</v>
      </c>
    </row>
    <row r="2232" spans="1:2">
      <c r="A2232">
        <v>2231</v>
      </c>
      <c r="B2232" s="2">
        <v>372.54985442498861</v>
      </c>
    </row>
    <row r="2233" spans="1:2">
      <c r="A2233">
        <v>2232</v>
      </c>
      <c r="B2233" s="2">
        <v>376.74111778634739</v>
      </c>
    </row>
    <row r="2234" spans="1:2">
      <c r="A2234">
        <v>2233</v>
      </c>
      <c r="B2234" s="2">
        <v>257.50399491163409</v>
      </c>
    </row>
    <row r="2235" spans="1:2">
      <c r="A2235">
        <v>2234</v>
      </c>
      <c r="B2235" s="2">
        <v>393.73976573942343</v>
      </c>
    </row>
    <row r="2236" spans="1:2">
      <c r="A2236">
        <v>2235</v>
      </c>
      <c r="B2236" s="2">
        <v>291.57981861862174</v>
      </c>
    </row>
    <row r="2237" spans="1:2">
      <c r="A2237">
        <v>2236</v>
      </c>
      <c r="B2237" s="2">
        <v>137.98120779867259</v>
      </c>
    </row>
    <row r="2238" spans="1:2">
      <c r="A2238">
        <v>2237</v>
      </c>
      <c r="B2238" s="2">
        <v>383.87685388516968</v>
      </c>
    </row>
    <row r="2239" spans="1:2">
      <c r="A2239">
        <v>2238</v>
      </c>
      <c r="B2239" s="2">
        <v>244.8435001578188</v>
      </c>
    </row>
    <row r="2240" spans="1:2">
      <c r="A2240">
        <v>2239</v>
      </c>
      <c r="B2240" s="2">
        <v>235.33978816608115</v>
      </c>
    </row>
    <row r="2241" spans="1:2">
      <c r="A2241">
        <v>2240</v>
      </c>
      <c r="B2241" s="2">
        <v>269.58566779966395</v>
      </c>
    </row>
    <row r="2242" spans="1:2">
      <c r="A2242">
        <v>2241</v>
      </c>
      <c r="B2242" s="2">
        <v>314.08916735315802</v>
      </c>
    </row>
    <row r="2243" spans="1:2">
      <c r="A2243">
        <v>2242</v>
      </c>
      <c r="B2243" s="2">
        <v>385.4399288281337</v>
      </c>
    </row>
    <row r="2244" spans="1:2">
      <c r="A2244">
        <v>2243</v>
      </c>
      <c r="B2244" s="2">
        <v>359.61976858094567</v>
      </c>
    </row>
    <row r="2245" spans="1:2">
      <c r="A2245">
        <v>2244</v>
      </c>
      <c r="B2245" s="2">
        <v>203.57631527960524</v>
      </c>
    </row>
    <row r="2246" spans="1:2">
      <c r="A2246">
        <v>2245</v>
      </c>
      <c r="B2246" s="2">
        <v>220.43234676373788</v>
      </c>
    </row>
    <row r="2247" spans="1:2">
      <c r="A2247">
        <v>2246</v>
      </c>
      <c r="B2247" s="2">
        <v>232.77472678639543</v>
      </c>
    </row>
    <row r="2248" spans="1:2">
      <c r="A2248">
        <v>2247</v>
      </c>
      <c r="B2248" s="2">
        <v>269.59619891850093</v>
      </c>
    </row>
    <row r="2249" spans="1:2">
      <c r="A2249">
        <v>2248</v>
      </c>
      <c r="B2249" s="2">
        <v>389.13217766230218</v>
      </c>
    </row>
    <row r="2250" spans="1:2">
      <c r="A2250">
        <v>2249</v>
      </c>
      <c r="B2250" s="2">
        <v>376.14233494128052</v>
      </c>
    </row>
    <row r="2251" spans="1:2">
      <c r="A2251">
        <v>2250</v>
      </c>
      <c r="B2251" s="2">
        <v>352.82401034634393</v>
      </c>
    </row>
    <row r="2252" spans="1:2">
      <c r="A2252">
        <v>2251</v>
      </c>
      <c r="B2252" s="2">
        <v>323.44272130242939</v>
      </c>
    </row>
    <row r="2253" spans="1:2">
      <c r="A2253">
        <v>2252</v>
      </c>
      <c r="B2253" s="2">
        <v>423.35833823691314</v>
      </c>
    </row>
    <row r="2254" spans="1:2">
      <c r="A2254">
        <v>2253</v>
      </c>
      <c r="B2254" s="2">
        <v>364.9535801526273</v>
      </c>
    </row>
    <row r="2255" spans="1:2">
      <c r="A2255">
        <v>2254</v>
      </c>
      <c r="B2255" s="2">
        <v>496.29918990747262</v>
      </c>
    </row>
    <row r="2256" spans="1:2">
      <c r="A2256">
        <v>2255</v>
      </c>
      <c r="B2256" s="2">
        <v>364.40522667280152</v>
      </c>
    </row>
    <row r="2257" spans="1:2">
      <c r="A2257">
        <v>2256</v>
      </c>
      <c r="B2257" s="2">
        <v>169.02640510022826</v>
      </c>
    </row>
    <row r="2258" spans="1:2">
      <c r="A2258">
        <v>2257</v>
      </c>
      <c r="B2258" s="2">
        <v>147.09917993256255</v>
      </c>
    </row>
    <row r="2259" spans="1:2">
      <c r="A2259">
        <v>2258</v>
      </c>
      <c r="B2259" s="2">
        <v>324.32534133715228</v>
      </c>
    </row>
    <row r="2260" spans="1:2">
      <c r="A2260">
        <v>2259</v>
      </c>
      <c r="B2260" s="2">
        <v>353.13054050471771</v>
      </c>
    </row>
    <row r="2261" spans="1:2">
      <c r="A2261">
        <v>2260</v>
      </c>
      <c r="B2261" s="2">
        <v>421.78667285073806</v>
      </c>
    </row>
    <row r="2262" spans="1:2">
      <c r="A2262">
        <v>2261</v>
      </c>
      <c r="B2262" s="2">
        <v>313.72255717222436</v>
      </c>
    </row>
    <row r="2263" spans="1:2">
      <c r="A2263">
        <v>2262</v>
      </c>
      <c r="B2263" s="2">
        <v>378.81171454433007</v>
      </c>
    </row>
    <row r="2264" spans="1:2">
      <c r="A2264">
        <v>2263</v>
      </c>
      <c r="B2264" s="2">
        <v>203.89188210311386</v>
      </c>
    </row>
    <row r="2265" spans="1:2">
      <c r="A2265">
        <v>2264</v>
      </c>
      <c r="B2265" s="2">
        <v>305.2867291910398</v>
      </c>
    </row>
    <row r="2266" spans="1:2">
      <c r="A2266">
        <v>2265</v>
      </c>
      <c r="B2266" s="2">
        <v>439.22660370720257</v>
      </c>
    </row>
    <row r="2267" spans="1:2">
      <c r="A2267">
        <v>2266</v>
      </c>
      <c r="B2267" s="2">
        <v>313.03924387563137</v>
      </c>
    </row>
    <row r="2268" spans="1:2">
      <c r="A2268">
        <v>2267</v>
      </c>
      <c r="B2268" s="2">
        <v>262.17898377855306</v>
      </c>
    </row>
    <row r="2269" spans="1:2">
      <c r="A2269">
        <v>2268</v>
      </c>
      <c r="B2269" s="2">
        <v>298.35684120840369</v>
      </c>
    </row>
    <row r="2270" spans="1:2">
      <c r="A2270">
        <v>2269</v>
      </c>
      <c r="B2270" s="2">
        <v>176.30395569849378</v>
      </c>
    </row>
    <row r="2271" spans="1:2">
      <c r="A2271">
        <v>2270</v>
      </c>
      <c r="B2271" s="2">
        <v>280.42776278733038</v>
      </c>
    </row>
    <row r="2272" spans="1:2">
      <c r="A2272">
        <v>2271</v>
      </c>
      <c r="B2272" s="2">
        <v>354.43362317370872</v>
      </c>
    </row>
    <row r="2273" spans="1:2">
      <c r="A2273">
        <v>2272</v>
      </c>
      <c r="B2273" s="2">
        <v>462.70760839232128</v>
      </c>
    </row>
    <row r="2274" spans="1:2">
      <c r="A2274">
        <v>2273</v>
      </c>
      <c r="B2274" s="2">
        <v>254.04427949082819</v>
      </c>
    </row>
    <row r="2275" spans="1:2">
      <c r="A2275">
        <v>2274</v>
      </c>
      <c r="B2275" s="2">
        <v>269.27640188804276</v>
      </c>
    </row>
    <row r="2276" spans="1:2">
      <c r="A2276">
        <v>2275</v>
      </c>
      <c r="B2276" s="2">
        <v>452.17112410665789</v>
      </c>
    </row>
    <row r="2277" spans="1:2">
      <c r="A2277">
        <v>2276</v>
      </c>
      <c r="B2277" s="2">
        <v>246.55347680439758</v>
      </c>
    </row>
    <row r="2278" spans="1:2">
      <c r="A2278">
        <v>2277</v>
      </c>
      <c r="B2278" s="2">
        <v>353.43558588779678</v>
      </c>
    </row>
    <row r="2279" spans="1:2">
      <c r="A2279">
        <v>2278</v>
      </c>
      <c r="B2279" s="2">
        <v>350.41621846425585</v>
      </c>
    </row>
    <row r="2280" spans="1:2">
      <c r="A2280">
        <v>2279</v>
      </c>
      <c r="B2280" s="2">
        <v>244.39382975395318</v>
      </c>
    </row>
    <row r="2281" spans="1:2">
      <c r="A2281">
        <v>2280</v>
      </c>
      <c r="B2281" s="2">
        <v>370.8655535888297</v>
      </c>
    </row>
    <row r="2282" spans="1:2">
      <c r="A2282">
        <v>2281</v>
      </c>
      <c r="B2282" s="2">
        <v>331.8835103218272</v>
      </c>
    </row>
    <row r="2283" spans="1:2">
      <c r="A2283">
        <v>2282</v>
      </c>
      <c r="B2283" s="2">
        <v>481.63427387388776</v>
      </c>
    </row>
    <row r="2284" spans="1:2">
      <c r="A2284">
        <v>2283</v>
      </c>
      <c r="B2284" s="2">
        <v>237.54629761000064</v>
      </c>
    </row>
    <row r="2285" spans="1:2">
      <c r="A2285">
        <v>2284</v>
      </c>
      <c r="B2285" s="2">
        <v>319.69398553440209</v>
      </c>
    </row>
    <row r="2286" spans="1:2">
      <c r="A2286">
        <v>2285</v>
      </c>
      <c r="B2286" s="2">
        <v>463.25863498693371</v>
      </c>
    </row>
    <row r="2287" spans="1:2">
      <c r="A2287">
        <v>2286</v>
      </c>
      <c r="B2287" s="2">
        <v>220.55247286504505</v>
      </c>
    </row>
    <row r="2288" spans="1:2">
      <c r="A2288">
        <v>2287</v>
      </c>
      <c r="B2288" s="2">
        <v>445.49319685828482</v>
      </c>
    </row>
    <row r="2289" spans="1:2">
      <c r="A2289">
        <v>2288</v>
      </c>
      <c r="B2289" s="2">
        <v>246.5312353321425</v>
      </c>
    </row>
    <row r="2290" spans="1:2">
      <c r="A2290">
        <v>2289</v>
      </c>
      <c r="B2290" s="2">
        <v>482.20251081791548</v>
      </c>
    </row>
    <row r="2291" spans="1:2">
      <c r="A2291">
        <v>2290</v>
      </c>
      <c r="B2291" s="2">
        <v>100.85799376690625</v>
      </c>
    </row>
    <row r="2292" spans="1:2">
      <c r="A2292">
        <v>2291</v>
      </c>
      <c r="B2292" s="2">
        <v>421.23794546985027</v>
      </c>
    </row>
    <row r="2293" spans="1:2">
      <c r="A2293">
        <v>2292</v>
      </c>
      <c r="B2293" s="2">
        <v>269.27724200638846</v>
      </c>
    </row>
    <row r="2294" spans="1:2">
      <c r="A2294">
        <v>2293</v>
      </c>
      <c r="B2294" s="2">
        <v>284.75594621995145</v>
      </c>
    </row>
    <row r="2295" spans="1:2">
      <c r="A2295">
        <v>2294</v>
      </c>
      <c r="B2295" s="2">
        <v>175.51722675225011</v>
      </c>
    </row>
    <row r="2296" spans="1:2">
      <c r="A2296">
        <v>2295</v>
      </c>
      <c r="B2296" s="2">
        <v>428.31983222231867</v>
      </c>
    </row>
    <row r="2297" spans="1:2">
      <c r="A2297">
        <v>2296</v>
      </c>
      <c r="B2297" s="2">
        <v>289.93997252458041</v>
      </c>
    </row>
    <row r="2298" spans="1:2">
      <c r="A2298">
        <v>2297</v>
      </c>
      <c r="B2298" s="2">
        <v>427.1639442443406</v>
      </c>
    </row>
    <row r="2299" spans="1:2">
      <c r="A2299">
        <v>2298</v>
      </c>
      <c r="B2299" s="2">
        <v>415.63806417571493</v>
      </c>
    </row>
    <row r="2300" spans="1:2">
      <c r="A2300">
        <v>2299</v>
      </c>
      <c r="B2300" s="2">
        <v>365.72383010666971</v>
      </c>
    </row>
    <row r="2301" spans="1:2">
      <c r="A2301">
        <v>2300</v>
      </c>
      <c r="B2301" s="2">
        <v>119.45240965792495</v>
      </c>
    </row>
    <row r="2302" spans="1:2">
      <c r="A2302">
        <v>2301</v>
      </c>
      <c r="B2302" s="2">
        <v>404.81152437964397</v>
      </c>
    </row>
    <row r="2303" spans="1:2">
      <c r="A2303">
        <v>2302</v>
      </c>
      <c r="B2303" s="2">
        <v>441.00876273544782</v>
      </c>
    </row>
    <row r="2304" spans="1:2">
      <c r="A2304">
        <v>2303</v>
      </c>
      <c r="B2304" s="2">
        <v>384.5016161448865</v>
      </c>
    </row>
    <row r="2305" spans="1:2">
      <c r="A2305">
        <v>2304</v>
      </c>
      <c r="B2305" s="2">
        <v>237.15473153010208</v>
      </c>
    </row>
    <row r="2306" spans="1:2">
      <c r="A2306">
        <v>2305</v>
      </c>
      <c r="B2306" s="2">
        <v>327.60193007607518</v>
      </c>
    </row>
    <row r="2307" spans="1:2">
      <c r="A2307">
        <v>2306</v>
      </c>
      <c r="B2307" s="2">
        <v>233.02515822111033</v>
      </c>
    </row>
    <row r="2308" spans="1:2">
      <c r="A2308">
        <v>2307</v>
      </c>
      <c r="B2308" s="2">
        <v>390.07819250179205</v>
      </c>
    </row>
    <row r="2309" spans="1:2">
      <c r="A2309">
        <v>2308</v>
      </c>
      <c r="B2309" s="2">
        <v>432.13355879918902</v>
      </c>
    </row>
    <row r="2310" spans="1:2">
      <c r="A2310">
        <v>2309</v>
      </c>
      <c r="B2310" s="2">
        <v>408.64700246301908</v>
      </c>
    </row>
    <row r="2311" spans="1:2">
      <c r="A2311">
        <v>2310</v>
      </c>
      <c r="B2311" s="2">
        <v>434.94185463948907</v>
      </c>
    </row>
    <row r="2312" spans="1:2">
      <c r="A2312">
        <v>2311</v>
      </c>
      <c r="B2312" s="2">
        <v>338.95583043268175</v>
      </c>
    </row>
    <row r="2313" spans="1:2">
      <c r="A2313">
        <v>2312</v>
      </c>
      <c r="B2313" s="2">
        <v>279.01871647696294</v>
      </c>
    </row>
    <row r="2314" spans="1:2">
      <c r="A2314">
        <v>2313</v>
      </c>
      <c r="B2314" s="2">
        <v>346.66595437829113</v>
      </c>
    </row>
    <row r="2315" spans="1:2">
      <c r="A2315">
        <v>2314</v>
      </c>
      <c r="B2315" s="2">
        <v>340.88994591660946</v>
      </c>
    </row>
    <row r="2316" spans="1:2">
      <c r="A2316">
        <v>2315</v>
      </c>
      <c r="B2316" s="2">
        <v>365.06243902387826</v>
      </c>
    </row>
    <row r="2317" spans="1:2">
      <c r="A2317">
        <v>2316</v>
      </c>
      <c r="B2317" s="2">
        <v>464.12084626602984</v>
      </c>
    </row>
    <row r="2318" spans="1:2">
      <c r="A2318">
        <v>2317</v>
      </c>
      <c r="B2318" s="2">
        <v>372.30819880918068</v>
      </c>
    </row>
    <row r="2319" spans="1:2">
      <c r="A2319">
        <v>2318</v>
      </c>
      <c r="B2319" s="2">
        <v>371.96392205059107</v>
      </c>
    </row>
    <row r="2320" spans="1:2">
      <c r="A2320">
        <v>2319</v>
      </c>
      <c r="B2320" s="2">
        <v>167.02962831464959</v>
      </c>
    </row>
    <row r="2321" spans="1:2">
      <c r="A2321">
        <v>2320</v>
      </c>
      <c r="B2321" s="2">
        <v>395.77830714205561</v>
      </c>
    </row>
    <row r="2322" spans="1:2">
      <c r="A2322">
        <v>2321</v>
      </c>
      <c r="B2322" s="2">
        <v>394.78186757876028</v>
      </c>
    </row>
    <row r="2323" spans="1:2">
      <c r="A2323">
        <v>2322</v>
      </c>
      <c r="B2323" s="2">
        <v>449.7769305680747</v>
      </c>
    </row>
    <row r="2324" spans="1:2">
      <c r="A2324">
        <v>2323</v>
      </c>
      <c r="B2324" s="2">
        <v>449.16169111302463</v>
      </c>
    </row>
    <row r="2325" spans="1:2">
      <c r="A2325">
        <v>2324</v>
      </c>
      <c r="B2325" s="2">
        <v>511.52037630952293</v>
      </c>
    </row>
    <row r="2326" spans="1:2">
      <c r="A2326">
        <v>2325</v>
      </c>
      <c r="B2326" s="2">
        <v>338.29216600161192</v>
      </c>
    </row>
    <row r="2327" spans="1:2">
      <c r="A2327">
        <v>2326</v>
      </c>
      <c r="B2327" s="2">
        <v>355.48171744361298</v>
      </c>
    </row>
    <row r="2328" spans="1:2">
      <c r="A2328">
        <v>2327</v>
      </c>
      <c r="B2328" s="2">
        <v>260.45676617325807</v>
      </c>
    </row>
    <row r="2329" spans="1:2">
      <c r="A2329">
        <v>2328</v>
      </c>
      <c r="B2329" s="2">
        <v>134.08494797452516</v>
      </c>
    </row>
    <row r="2330" spans="1:2">
      <c r="A2330">
        <v>2329</v>
      </c>
      <c r="B2330" s="2">
        <v>335.13175508870233</v>
      </c>
    </row>
    <row r="2331" spans="1:2">
      <c r="A2331">
        <v>2330</v>
      </c>
      <c r="B2331" s="2">
        <v>399.65841569813585</v>
      </c>
    </row>
    <row r="2332" spans="1:2">
      <c r="A2332">
        <v>2331</v>
      </c>
      <c r="B2332" s="2">
        <v>287.14259889093699</v>
      </c>
    </row>
    <row r="2333" spans="1:2">
      <c r="A2333">
        <v>2332</v>
      </c>
      <c r="B2333" s="2">
        <v>438.57015196150718</v>
      </c>
    </row>
    <row r="2334" spans="1:2">
      <c r="A2334">
        <v>2333</v>
      </c>
      <c r="B2334" s="2">
        <v>483.26939233956375</v>
      </c>
    </row>
    <row r="2335" spans="1:2">
      <c r="A2335">
        <v>2334</v>
      </c>
      <c r="B2335" s="2">
        <v>414.1445446005979</v>
      </c>
    </row>
    <row r="2336" spans="1:2">
      <c r="A2336">
        <v>2335</v>
      </c>
      <c r="B2336" s="2">
        <v>260.30964851008525</v>
      </c>
    </row>
    <row r="2337" spans="1:2">
      <c r="A2337">
        <v>2336</v>
      </c>
      <c r="B2337" s="2">
        <v>241.47490403212873</v>
      </c>
    </row>
    <row r="2338" spans="1:2">
      <c r="A2338">
        <v>2337</v>
      </c>
      <c r="B2338" s="2">
        <v>230.88724299060016</v>
      </c>
    </row>
    <row r="2339" spans="1:2">
      <c r="A2339">
        <v>2338</v>
      </c>
      <c r="B2339" s="2">
        <v>278.57437985690484</v>
      </c>
    </row>
    <row r="2340" spans="1:2">
      <c r="A2340">
        <v>2339</v>
      </c>
      <c r="B2340" s="2">
        <v>363.07723837493506</v>
      </c>
    </row>
    <row r="2341" spans="1:2">
      <c r="A2341">
        <v>2340</v>
      </c>
      <c r="B2341" s="2">
        <v>264.44786795789872</v>
      </c>
    </row>
    <row r="2342" spans="1:2">
      <c r="A2342">
        <v>2341</v>
      </c>
      <c r="B2342" s="2">
        <v>511.42274563616377</v>
      </c>
    </row>
    <row r="2343" spans="1:2">
      <c r="A2343">
        <v>2342</v>
      </c>
      <c r="B2343" s="2">
        <v>507.95492042500604</v>
      </c>
    </row>
    <row r="2344" spans="1:2">
      <c r="A2344">
        <v>2343</v>
      </c>
      <c r="B2344" s="2">
        <v>465.65897697229417</v>
      </c>
    </row>
    <row r="2345" spans="1:2">
      <c r="A2345">
        <v>2344</v>
      </c>
      <c r="B2345" s="2">
        <v>469.36144293596004</v>
      </c>
    </row>
    <row r="2346" spans="1:2">
      <c r="A2346">
        <v>2345</v>
      </c>
      <c r="B2346" s="2">
        <v>314.11170301965876</v>
      </c>
    </row>
    <row r="2347" spans="1:2">
      <c r="A2347">
        <v>2346</v>
      </c>
      <c r="B2347" s="2">
        <v>444.03875909530427</v>
      </c>
    </row>
    <row r="2348" spans="1:2">
      <c r="A2348">
        <v>2347</v>
      </c>
      <c r="B2348" s="2">
        <v>289.2622651499322</v>
      </c>
    </row>
    <row r="2349" spans="1:2">
      <c r="A2349">
        <v>2348</v>
      </c>
      <c r="B2349" s="2">
        <v>508.00774906396373</v>
      </c>
    </row>
    <row r="2350" spans="1:2">
      <c r="A2350">
        <v>2349</v>
      </c>
      <c r="B2350" s="2">
        <v>275.57005564482643</v>
      </c>
    </row>
    <row r="2351" spans="1:2">
      <c r="A2351">
        <v>2350</v>
      </c>
      <c r="B2351" s="2">
        <v>330.52484129866212</v>
      </c>
    </row>
    <row r="2352" spans="1:2">
      <c r="A2352">
        <v>2351</v>
      </c>
      <c r="B2352" s="2">
        <v>405.92014527106619</v>
      </c>
    </row>
    <row r="2353" spans="1:2">
      <c r="A2353">
        <v>2352</v>
      </c>
      <c r="B2353" s="2">
        <v>436.86673688364431</v>
      </c>
    </row>
    <row r="2354" spans="1:2">
      <c r="A2354">
        <v>2353</v>
      </c>
      <c r="B2354" s="2">
        <v>425.25211714266533</v>
      </c>
    </row>
    <row r="2355" spans="1:2">
      <c r="A2355">
        <v>2354</v>
      </c>
      <c r="B2355" s="2">
        <v>490.06936264405107</v>
      </c>
    </row>
    <row r="2356" spans="1:2">
      <c r="A2356">
        <v>2355</v>
      </c>
      <c r="B2356" s="2">
        <v>370.82220854806468</v>
      </c>
    </row>
    <row r="2357" spans="1:2">
      <c r="A2357">
        <v>2356</v>
      </c>
      <c r="B2357" s="2">
        <v>401.60019357159422</v>
      </c>
    </row>
    <row r="2358" spans="1:2">
      <c r="A2358">
        <v>2357</v>
      </c>
      <c r="B2358" s="2">
        <v>337.79457931322793</v>
      </c>
    </row>
    <row r="2359" spans="1:2">
      <c r="A2359">
        <v>2358</v>
      </c>
      <c r="B2359" s="2">
        <v>368.5069038867212</v>
      </c>
    </row>
    <row r="2360" spans="1:2">
      <c r="A2360">
        <v>2359</v>
      </c>
      <c r="B2360" s="2">
        <v>408.59284601132185</v>
      </c>
    </row>
    <row r="2361" spans="1:2">
      <c r="A2361">
        <v>2360</v>
      </c>
      <c r="B2361" s="2">
        <v>314.15843585499647</v>
      </c>
    </row>
    <row r="2362" spans="1:2">
      <c r="A2362">
        <v>2361</v>
      </c>
      <c r="B2362" s="2">
        <v>220.5744824619849</v>
      </c>
    </row>
    <row r="2363" spans="1:2">
      <c r="A2363">
        <v>2362</v>
      </c>
      <c r="B2363" s="2">
        <v>374.72357049765321</v>
      </c>
    </row>
    <row r="2364" spans="1:2">
      <c r="A2364">
        <v>2363</v>
      </c>
      <c r="B2364" s="2">
        <v>328.84647964265679</v>
      </c>
    </row>
    <row r="2365" spans="1:2">
      <c r="A2365">
        <v>2364</v>
      </c>
      <c r="B2365" s="2">
        <v>440.35187178957159</v>
      </c>
    </row>
    <row r="2366" spans="1:2">
      <c r="A2366">
        <v>2365</v>
      </c>
      <c r="B2366" s="2">
        <v>303.67022536333081</v>
      </c>
    </row>
    <row r="2367" spans="1:2">
      <c r="A2367">
        <v>2366</v>
      </c>
      <c r="B2367" s="2">
        <v>425.52661806290098</v>
      </c>
    </row>
    <row r="2368" spans="1:2">
      <c r="A2368">
        <v>2367</v>
      </c>
      <c r="B2368" s="2">
        <v>278.38490936130142</v>
      </c>
    </row>
    <row r="2369" spans="1:2">
      <c r="A2369">
        <v>2368</v>
      </c>
      <c r="B2369" s="2">
        <v>232.72802531980869</v>
      </c>
    </row>
    <row r="2370" spans="1:2">
      <c r="A2370">
        <v>2369</v>
      </c>
      <c r="B2370" s="2">
        <v>288.12231141850651</v>
      </c>
    </row>
    <row r="2371" spans="1:2">
      <c r="A2371">
        <v>2370</v>
      </c>
      <c r="B2371" s="2">
        <v>327.0629717768918</v>
      </c>
    </row>
    <row r="2372" spans="1:2">
      <c r="A2372">
        <v>2371</v>
      </c>
      <c r="B2372" s="2">
        <v>410.19234757762592</v>
      </c>
    </row>
    <row r="2373" spans="1:2">
      <c r="A2373">
        <v>2372</v>
      </c>
      <c r="B2373" s="2">
        <v>355.03537194088563</v>
      </c>
    </row>
    <row r="2374" spans="1:2">
      <c r="A2374">
        <v>2373</v>
      </c>
      <c r="B2374" s="2">
        <v>343.47732274197119</v>
      </c>
    </row>
    <row r="2375" spans="1:2">
      <c r="A2375">
        <v>2374</v>
      </c>
      <c r="B2375" s="2">
        <v>284.95234707539066</v>
      </c>
    </row>
    <row r="2376" spans="1:2">
      <c r="A2376">
        <v>2375</v>
      </c>
      <c r="B2376" s="2">
        <v>453.26850310135285</v>
      </c>
    </row>
    <row r="2377" spans="1:2">
      <c r="A2377">
        <v>2376</v>
      </c>
      <c r="B2377" s="2">
        <v>416.48937370666715</v>
      </c>
    </row>
    <row r="2378" spans="1:2">
      <c r="A2378">
        <v>2377</v>
      </c>
      <c r="B2378" s="2">
        <v>417.041971045129</v>
      </c>
    </row>
    <row r="2379" spans="1:2">
      <c r="A2379">
        <v>2378</v>
      </c>
      <c r="B2379" s="2">
        <v>334.12701356078151</v>
      </c>
    </row>
    <row r="2380" spans="1:2">
      <c r="A2380">
        <v>2379</v>
      </c>
      <c r="B2380" s="2">
        <v>310.10325561378443</v>
      </c>
    </row>
    <row r="2381" spans="1:2">
      <c r="A2381">
        <v>2380</v>
      </c>
      <c r="B2381" s="2">
        <v>403.13456211807545</v>
      </c>
    </row>
    <row r="2382" spans="1:2">
      <c r="A2382">
        <v>2381</v>
      </c>
      <c r="B2382" s="2">
        <v>359.10771711240858</v>
      </c>
    </row>
    <row r="2383" spans="1:2">
      <c r="A2383">
        <v>2382</v>
      </c>
      <c r="B2383" s="2">
        <v>362.34732608334889</v>
      </c>
    </row>
    <row r="2384" spans="1:2">
      <c r="A2384">
        <v>2383</v>
      </c>
      <c r="B2384" s="2">
        <v>252.97602642238115</v>
      </c>
    </row>
    <row r="2385" spans="1:2">
      <c r="A2385">
        <v>2384</v>
      </c>
      <c r="B2385" s="2">
        <v>414.7079920869204</v>
      </c>
    </row>
    <row r="2386" spans="1:2">
      <c r="A2386">
        <v>2385</v>
      </c>
      <c r="B2386" s="2">
        <v>318.4058206451466</v>
      </c>
    </row>
    <row r="2387" spans="1:2">
      <c r="A2387">
        <v>2386</v>
      </c>
      <c r="B2387" s="2">
        <v>279.16230052249762</v>
      </c>
    </row>
    <row r="2388" spans="1:2">
      <c r="A2388">
        <v>2387</v>
      </c>
      <c r="B2388" s="2">
        <v>344.66621999343084</v>
      </c>
    </row>
    <row r="2389" spans="1:2">
      <c r="A2389">
        <v>2388</v>
      </c>
      <c r="B2389" s="2">
        <v>224.51429273840631</v>
      </c>
    </row>
    <row r="2390" spans="1:2">
      <c r="A2390">
        <v>2389</v>
      </c>
      <c r="B2390" s="2">
        <v>341.52393099148929</v>
      </c>
    </row>
    <row r="2391" spans="1:2">
      <c r="A2391">
        <v>2390</v>
      </c>
      <c r="B2391" s="2">
        <v>394.2368991645165</v>
      </c>
    </row>
    <row r="2392" spans="1:2">
      <c r="A2392">
        <v>2391</v>
      </c>
      <c r="B2392" s="2">
        <v>317.02898555253364</v>
      </c>
    </row>
    <row r="2393" spans="1:2">
      <c r="A2393">
        <v>2392</v>
      </c>
      <c r="B2393" s="2">
        <v>304.22359718980238</v>
      </c>
    </row>
    <row r="2394" spans="1:2">
      <c r="A2394">
        <v>2393</v>
      </c>
      <c r="B2394" s="2">
        <v>272.25627692444664</v>
      </c>
    </row>
    <row r="2395" spans="1:2">
      <c r="A2395">
        <v>2394</v>
      </c>
      <c r="B2395" s="2">
        <v>360.82624888025725</v>
      </c>
    </row>
    <row r="2396" spans="1:2">
      <c r="A2396">
        <v>2395</v>
      </c>
      <c r="B2396" s="2">
        <v>353.43164183753123</v>
      </c>
    </row>
    <row r="2397" spans="1:2">
      <c r="A2397">
        <v>2396</v>
      </c>
      <c r="B2397" s="2">
        <v>311.48005207479912</v>
      </c>
    </row>
    <row r="2398" spans="1:2">
      <c r="A2398">
        <v>2397</v>
      </c>
      <c r="B2398" s="2">
        <v>436.21340260534669</v>
      </c>
    </row>
    <row r="2399" spans="1:2">
      <c r="A2399">
        <v>2398</v>
      </c>
      <c r="B2399" s="2">
        <v>339.52444656501336</v>
      </c>
    </row>
    <row r="2400" spans="1:2">
      <c r="A2400">
        <v>2399</v>
      </c>
      <c r="B2400" s="2">
        <v>497.89854099246747</v>
      </c>
    </row>
    <row r="2401" spans="1:2">
      <c r="A2401">
        <v>2400</v>
      </c>
      <c r="B2401" s="2">
        <v>297.92176537259888</v>
      </c>
    </row>
    <row r="2402" spans="1:2">
      <c r="A2402">
        <v>2401</v>
      </c>
      <c r="B2402" s="2">
        <v>345.67207190037539</v>
      </c>
    </row>
    <row r="2403" spans="1:2">
      <c r="A2403">
        <v>2402</v>
      </c>
      <c r="B2403" s="2">
        <v>311.90355173285633</v>
      </c>
    </row>
    <row r="2404" spans="1:2">
      <c r="A2404">
        <v>2403</v>
      </c>
      <c r="B2404" s="2">
        <v>361.60369970096633</v>
      </c>
    </row>
    <row r="2405" spans="1:2">
      <c r="A2405">
        <v>2404</v>
      </c>
      <c r="B2405" s="2">
        <v>466.06860158148709</v>
      </c>
    </row>
    <row r="2406" spans="1:2">
      <c r="A2406">
        <v>2405</v>
      </c>
      <c r="B2406" s="2">
        <v>325.3552383568059</v>
      </c>
    </row>
    <row r="2407" spans="1:2">
      <c r="A2407">
        <v>2406</v>
      </c>
      <c r="B2407" s="2">
        <v>324.08614528681221</v>
      </c>
    </row>
    <row r="2408" spans="1:2">
      <c r="A2408">
        <v>2407</v>
      </c>
      <c r="B2408" s="2">
        <v>308.81322919082731</v>
      </c>
    </row>
    <row r="2409" spans="1:2">
      <c r="A2409">
        <v>2408</v>
      </c>
      <c r="B2409" s="2">
        <v>416.51365055242292</v>
      </c>
    </row>
    <row r="2410" spans="1:2">
      <c r="A2410">
        <v>2409</v>
      </c>
      <c r="B2410" s="2">
        <v>238.56413866776319</v>
      </c>
    </row>
    <row r="2411" spans="1:2">
      <c r="A2411">
        <v>2410</v>
      </c>
      <c r="B2411" s="2">
        <v>380.16393388107815</v>
      </c>
    </row>
    <row r="2412" spans="1:2">
      <c r="A2412">
        <v>2411</v>
      </c>
      <c r="B2412" s="2">
        <v>377.13149186003062</v>
      </c>
    </row>
    <row r="2413" spans="1:2">
      <c r="A2413">
        <v>2412</v>
      </c>
      <c r="B2413" s="2">
        <v>248.59889900354108</v>
      </c>
    </row>
    <row r="2414" spans="1:2">
      <c r="A2414">
        <v>2413</v>
      </c>
      <c r="B2414" s="2">
        <v>347.30279316731162</v>
      </c>
    </row>
    <row r="2415" spans="1:2">
      <c r="A2415">
        <v>2414</v>
      </c>
      <c r="B2415" s="2">
        <v>310.24418937932467</v>
      </c>
    </row>
    <row r="2416" spans="1:2">
      <c r="A2416">
        <v>2415</v>
      </c>
      <c r="B2416" s="2">
        <v>299.23427087238633</v>
      </c>
    </row>
    <row r="2417" spans="1:2">
      <c r="A2417">
        <v>2416</v>
      </c>
      <c r="B2417" s="2">
        <v>285.26035309149222</v>
      </c>
    </row>
    <row r="2418" spans="1:2">
      <c r="A2418">
        <v>2417</v>
      </c>
      <c r="B2418" s="2">
        <v>328.9994288187695</v>
      </c>
    </row>
    <row r="2419" spans="1:2">
      <c r="A2419">
        <v>2418</v>
      </c>
      <c r="B2419" s="2">
        <v>428.80954621014649</v>
      </c>
    </row>
    <row r="2420" spans="1:2">
      <c r="A2420">
        <v>2419</v>
      </c>
      <c r="B2420" s="2">
        <v>498.37142546200516</v>
      </c>
    </row>
    <row r="2421" spans="1:2">
      <c r="A2421">
        <v>2420</v>
      </c>
      <c r="B2421" s="2">
        <v>394.21730075315133</v>
      </c>
    </row>
    <row r="2422" spans="1:2">
      <c r="A2422">
        <v>2421</v>
      </c>
      <c r="B2422" s="2">
        <v>427.8604487618079</v>
      </c>
    </row>
    <row r="2423" spans="1:2">
      <c r="A2423">
        <v>2422</v>
      </c>
      <c r="B2423" s="2">
        <v>346.88674942979617</v>
      </c>
    </row>
    <row r="2424" spans="1:2">
      <c r="A2424">
        <v>2423</v>
      </c>
      <c r="B2424" s="2">
        <v>308.91454781465404</v>
      </c>
    </row>
    <row r="2425" spans="1:2">
      <c r="A2425">
        <v>2424</v>
      </c>
      <c r="B2425" s="2">
        <v>248.953539512379</v>
      </c>
    </row>
    <row r="2426" spans="1:2">
      <c r="A2426">
        <v>2425</v>
      </c>
      <c r="B2426" s="2">
        <v>414.77277906932699</v>
      </c>
    </row>
    <row r="2427" spans="1:2">
      <c r="A2427">
        <v>2426</v>
      </c>
      <c r="B2427" s="2">
        <v>354.25397908772629</v>
      </c>
    </row>
    <row r="2428" spans="1:2">
      <c r="A2428">
        <v>2427</v>
      </c>
      <c r="B2428" s="2">
        <v>488.7712902969235</v>
      </c>
    </row>
    <row r="2429" spans="1:2">
      <c r="A2429">
        <v>2428</v>
      </c>
      <c r="B2429" s="2">
        <v>368.92107819985006</v>
      </c>
    </row>
    <row r="2430" spans="1:2">
      <c r="A2430">
        <v>2429</v>
      </c>
      <c r="B2430" s="2">
        <v>314.90475655434454</v>
      </c>
    </row>
    <row r="2431" spans="1:2">
      <c r="A2431">
        <v>2430</v>
      </c>
      <c r="B2431" s="2">
        <v>269.49332714621289</v>
      </c>
    </row>
    <row r="2432" spans="1:2">
      <c r="A2432">
        <v>2431</v>
      </c>
      <c r="B2432" s="2">
        <v>332.67255124807963</v>
      </c>
    </row>
    <row r="2433" spans="1:2">
      <c r="A2433">
        <v>2432</v>
      </c>
      <c r="B2433" s="2">
        <v>364.35385531207476</v>
      </c>
    </row>
    <row r="2434" spans="1:2">
      <c r="A2434">
        <v>2433</v>
      </c>
      <c r="B2434" s="2">
        <v>341.4417045115872</v>
      </c>
    </row>
    <row r="2435" spans="1:2">
      <c r="A2435">
        <v>2434</v>
      </c>
      <c r="B2435" s="2">
        <v>243.65475358161768</v>
      </c>
    </row>
    <row r="2436" spans="1:2">
      <c r="A2436">
        <v>2435</v>
      </c>
      <c r="B2436" s="2">
        <v>401.54502400317693</v>
      </c>
    </row>
    <row r="2437" spans="1:2">
      <c r="A2437">
        <v>2436</v>
      </c>
      <c r="B2437" s="2">
        <v>308.43284580580314</v>
      </c>
    </row>
    <row r="2438" spans="1:2">
      <c r="A2438">
        <v>2437</v>
      </c>
      <c r="B2438" s="2">
        <v>430.81816362770553</v>
      </c>
    </row>
    <row r="2439" spans="1:2">
      <c r="A2439">
        <v>2438</v>
      </c>
      <c r="B2439" s="2">
        <v>434.10409783578609</v>
      </c>
    </row>
    <row r="2440" spans="1:2">
      <c r="A2440">
        <v>2439</v>
      </c>
      <c r="B2440" s="2">
        <v>404.50720372616144</v>
      </c>
    </row>
    <row r="2441" spans="1:2">
      <c r="A2441">
        <v>2440</v>
      </c>
      <c r="B2441" s="2">
        <v>439.3549540649276</v>
      </c>
    </row>
    <row r="2442" spans="1:2">
      <c r="A2442">
        <v>2441</v>
      </c>
      <c r="B2442" s="2">
        <v>415.24278357119243</v>
      </c>
    </row>
    <row r="2443" spans="1:2">
      <c r="A2443">
        <v>2442</v>
      </c>
      <c r="B2443" s="2">
        <v>327.15391481093218</v>
      </c>
    </row>
    <row r="2444" spans="1:2">
      <c r="A2444">
        <v>2443</v>
      </c>
      <c r="B2444" s="2">
        <v>475.44306006915713</v>
      </c>
    </row>
    <row r="2445" spans="1:2">
      <c r="A2445">
        <v>2444</v>
      </c>
      <c r="B2445" s="2">
        <v>368.32715479384422</v>
      </c>
    </row>
    <row r="2446" spans="1:2">
      <c r="A2446">
        <v>2445</v>
      </c>
      <c r="B2446" s="2">
        <v>421.65538367622298</v>
      </c>
    </row>
    <row r="2447" spans="1:2">
      <c r="A2447">
        <v>2446</v>
      </c>
      <c r="B2447" s="2">
        <v>267.52988536055653</v>
      </c>
    </row>
    <row r="2448" spans="1:2">
      <c r="A2448">
        <v>2447</v>
      </c>
      <c r="B2448" s="2">
        <v>385.13383390624881</v>
      </c>
    </row>
    <row r="2449" spans="1:2">
      <c r="A2449">
        <v>2448</v>
      </c>
      <c r="B2449" s="2">
        <v>314.28576489165323</v>
      </c>
    </row>
    <row r="2450" spans="1:2">
      <c r="A2450">
        <v>2449</v>
      </c>
      <c r="B2450" s="2">
        <v>527.86011062537852</v>
      </c>
    </row>
    <row r="2451" spans="1:2">
      <c r="A2451">
        <v>2450</v>
      </c>
      <c r="B2451" s="2">
        <v>377.28862859189962</v>
      </c>
    </row>
    <row r="2452" spans="1:2">
      <c r="A2452">
        <v>2451</v>
      </c>
      <c r="B2452" s="2">
        <v>325.4452241808749</v>
      </c>
    </row>
    <row r="2453" spans="1:2">
      <c r="A2453">
        <v>2452</v>
      </c>
      <c r="B2453" s="2">
        <v>311.9194718028445</v>
      </c>
    </row>
    <row r="2454" spans="1:2">
      <c r="A2454">
        <v>2453</v>
      </c>
      <c r="B2454" s="2">
        <v>419.82005015564368</v>
      </c>
    </row>
    <row r="2455" spans="1:2">
      <c r="A2455">
        <v>2454</v>
      </c>
      <c r="B2455" s="2">
        <v>362.15074634665632</v>
      </c>
    </row>
    <row r="2456" spans="1:2">
      <c r="A2456">
        <v>2455</v>
      </c>
      <c r="B2456" s="2">
        <v>285.25462376258093</v>
      </c>
    </row>
    <row r="2457" spans="1:2">
      <c r="A2457">
        <v>2456</v>
      </c>
      <c r="B2457" s="2">
        <v>329.82621161424862</v>
      </c>
    </row>
    <row r="2458" spans="1:2">
      <c r="A2458">
        <v>2457</v>
      </c>
      <c r="B2458" s="2">
        <v>341.10671684877866</v>
      </c>
    </row>
    <row r="2459" spans="1:2">
      <c r="A2459">
        <v>2458</v>
      </c>
      <c r="B2459" s="2">
        <v>355.48110498414337</v>
      </c>
    </row>
    <row r="2460" spans="1:2">
      <c r="A2460">
        <v>2459</v>
      </c>
      <c r="B2460" s="2">
        <v>226.6372906019476</v>
      </c>
    </row>
    <row r="2461" spans="1:2">
      <c r="A2461">
        <v>2460</v>
      </c>
      <c r="B2461" s="2">
        <v>344.46022334779445</v>
      </c>
    </row>
    <row r="2462" spans="1:2">
      <c r="A2462">
        <v>2461</v>
      </c>
      <c r="B2462" s="2">
        <v>399.81006181723899</v>
      </c>
    </row>
    <row r="2463" spans="1:2">
      <c r="A2463">
        <v>2462</v>
      </c>
      <c r="B2463" s="2">
        <v>440.05892814866468</v>
      </c>
    </row>
    <row r="2464" spans="1:2">
      <c r="A2464">
        <v>2463</v>
      </c>
      <c r="B2464" s="2">
        <v>312.18984838823036</v>
      </c>
    </row>
    <row r="2465" spans="1:2">
      <c r="A2465">
        <v>2464</v>
      </c>
      <c r="B2465" s="2">
        <v>425.27739360405121</v>
      </c>
    </row>
    <row r="2466" spans="1:2">
      <c r="A2466">
        <v>2465</v>
      </c>
      <c r="B2466" s="2">
        <v>350.77765265595076</v>
      </c>
    </row>
    <row r="2467" spans="1:2">
      <c r="A2467">
        <v>2466</v>
      </c>
      <c r="B2467" s="2">
        <v>388.28017593570712</v>
      </c>
    </row>
    <row r="2468" spans="1:2">
      <c r="A2468">
        <v>2467</v>
      </c>
      <c r="B2468" s="2">
        <v>278.24448705331008</v>
      </c>
    </row>
    <row r="2469" spans="1:2">
      <c r="A2469">
        <v>2468</v>
      </c>
      <c r="B2469" s="2">
        <v>428.32978741100305</v>
      </c>
    </row>
    <row r="2470" spans="1:2">
      <c r="A2470">
        <v>2469</v>
      </c>
      <c r="B2470" s="2">
        <v>406.16119891122304</v>
      </c>
    </row>
    <row r="2471" spans="1:2">
      <c r="A2471">
        <v>2470</v>
      </c>
      <c r="B2471" s="2">
        <v>249.39429181165332</v>
      </c>
    </row>
    <row r="2472" spans="1:2">
      <c r="A2472">
        <v>2471</v>
      </c>
      <c r="B2472" s="2">
        <v>358.41628084965055</v>
      </c>
    </row>
    <row r="2473" spans="1:2">
      <c r="A2473">
        <v>2472</v>
      </c>
      <c r="B2473" s="2">
        <v>315.21053220228214</v>
      </c>
    </row>
    <row r="2474" spans="1:2">
      <c r="A2474">
        <v>2473</v>
      </c>
      <c r="B2474" s="2">
        <v>317.26238455284579</v>
      </c>
    </row>
    <row r="2475" spans="1:2">
      <c r="A2475">
        <v>2474</v>
      </c>
      <c r="B2475" s="2">
        <v>384.71817221498361</v>
      </c>
    </row>
    <row r="2476" spans="1:2">
      <c r="A2476">
        <v>2475</v>
      </c>
      <c r="B2476" s="2">
        <v>460.02622832866689</v>
      </c>
    </row>
    <row r="2477" spans="1:2">
      <c r="A2477">
        <v>2476</v>
      </c>
      <c r="B2477" s="2">
        <v>289.34931503601507</v>
      </c>
    </row>
    <row r="2478" spans="1:2">
      <c r="A2478">
        <v>2477</v>
      </c>
      <c r="B2478" s="2">
        <v>191.79998646489992</v>
      </c>
    </row>
    <row r="2479" spans="1:2">
      <c r="A2479">
        <v>2478</v>
      </c>
      <c r="B2479" s="2">
        <v>490.02870024081153</v>
      </c>
    </row>
    <row r="2480" spans="1:2">
      <c r="A2480">
        <v>2479</v>
      </c>
      <c r="B2480" s="2">
        <v>256.23874658625573</v>
      </c>
    </row>
    <row r="2481" spans="1:2">
      <c r="A2481">
        <v>2480</v>
      </c>
      <c r="B2481" s="2">
        <v>398.27943236460618</v>
      </c>
    </row>
    <row r="2482" spans="1:2">
      <c r="A2482">
        <v>2481</v>
      </c>
      <c r="B2482" s="2">
        <v>393.80907686456482</v>
      </c>
    </row>
    <row r="2483" spans="1:2">
      <c r="A2483">
        <v>2482</v>
      </c>
      <c r="B2483" s="2">
        <v>401.7953345695791</v>
      </c>
    </row>
    <row r="2484" spans="1:2">
      <c r="A2484">
        <v>2483</v>
      </c>
      <c r="B2484" s="2">
        <v>482.27771759229955</v>
      </c>
    </row>
    <row r="2485" spans="1:2">
      <c r="A2485">
        <v>2484</v>
      </c>
      <c r="B2485" s="2">
        <v>401.19478700825465</v>
      </c>
    </row>
    <row r="2486" spans="1:2">
      <c r="A2486">
        <v>2485</v>
      </c>
      <c r="B2486" s="2">
        <v>373.485558225798</v>
      </c>
    </row>
    <row r="2487" spans="1:2">
      <c r="A2487">
        <v>2486</v>
      </c>
      <c r="B2487" s="2">
        <v>339.9542426006675</v>
      </c>
    </row>
    <row r="2488" spans="1:2">
      <c r="A2488">
        <v>2487</v>
      </c>
      <c r="B2488" s="2">
        <v>326.84057881801778</v>
      </c>
    </row>
    <row r="2489" spans="1:2">
      <c r="A2489">
        <v>2488</v>
      </c>
      <c r="B2489" s="2">
        <v>364.64662782700054</v>
      </c>
    </row>
    <row r="2490" spans="1:2">
      <c r="A2490">
        <v>2489</v>
      </c>
      <c r="B2490" s="2">
        <v>411.87004412198854</v>
      </c>
    </row>
    <row r="2491" spans="1:2">
      <c r="A2491">
        <v>2490</v>
      </c>
      <c r="B2491" s="2">
        <v>403.26925289180224</v>
      </c>
    </row>
    <row r="2492" spans="1:2">
      <c r="A2492">
        <v>2491</v>
      </c>
      <c r="B2492" s="2">
        <v>482.67629235038868</v>
      </c>
    </row>
    <row r="2493" spans="1:2">
      <c r="A2493">
        <v>2492</v>
      </c>
      <c r="B2493" s="2">
        <v>188.22910082225107</v>
      </c>
    </row>
    <row r="2494" spans="1:2">
      <c r="A2494">
        <v>2493</v>
      </c>
      <c r="B2494" s="2">
        <v>382.18161201333356</v>
      </c>
    </row>
    <row r="2495" spans="1:2">
      <c r="A2495">
        <v>2494</v>
      </c>
      <c r="B2495" s="2">
        <v>392.8667436733042</v>
      </c>
    </row>
    <row r="2496" spans="1:2">
      <c r="A2496">
        <v>2495</v>
      </c>
      <c r="B2496" s="2">
        <v>380.04731017021788</v>
      </c>
    </row>
    <row r="2497" spans="1:2">
      <c r="A2497">
        <v>2496</v>
      </c>
      <c r="B2497" s="2">
        <v>294.67998361634187</v>
      </c>
    </row>
    <row r="2498" spans="1:2">
      <c r="A2498">
        <v>2497</v>
      </c>
      <c r="B2498" s="2">
        <v>338.86973206225809</v>
      </c>
    </row>
    <row r="2499" spans="1:2">
      <c r="A2499">
        <v>2498</v>
      </c>
      <c r="B2499" s="2">
        <v>372.2782388281471</v>
      </c>
    </row>
    <row r="2500" spans="1:2">
      <c r="A2500">
        <v>2499</v>
      </c>
      <c r="B2500" s="2">
        <v>422.07049311088957</v>
      </c>
    </row>
    <row r="2501" spans="1:2">
      <c r="A2501">
        <v>2500</v>
      </c>
      <c r="B2501" s="2">
        <v>231.08165235095856</v>
      </c>
    </row>
    <row r="2502" spans="1:2">
      <c r="A2502">
        <v>2501</v>
      </c>
      <c r="B2502" s="2">
        <v>514.31271802460492</v>
      </c>
    </row>
    <row r="2503" spans="1:2">
      <c r="A2503">
        <v>2502</v>
      </c>
      <c r="B2503" s="2">
        <v>237.87864864180557</v>
      </c>
    </row>
    <row r="2504" spans="1:2">
      <c r="A2504">
        <v>2503</v>
      </c>
      <c r="B2504" s="2">
        <v>210.83323281446286</v>
      </c>
    </row>
    <row r="2505" spans="1:2">
      <c r="A2505">
        <v>2504</v>
      </c>
      <c r="B2505" s="2">
        <v>371.18806967420903</v>
      </c>
    </row>
    <row r="2506" spans="1:2">
      <c r="A2506">
        <v>2505</v>
      </c>
      <c r="B2506" s="2">
        <v>401.92218232210524</v>
      </c>
    </row>
    <row r="2507" spans="1:2">
      <c r="A2507">
        <v>2506</v>
      </c>
      <c r="B2507" s="2">
        <v>500.24617287753802</v>
      </c>
    </row>
    <row r="2508" spans="1:2">
      <c r="A2508">
        <v>2507</v>
      </c>
      <c r="B2508" s="2">
        <v>408.63437197684914</v>
      </c>
    </row>
    <row r="2509" spans="1:2">
      <c r="A2509">
        <v>2508</v>
      </c>
      <c r="B2509" s="2">
        <v>394.3628268647285</v>
      </c>
    </row>
    <row r="2510" spans="1:2">
      <c r="A2510">
        <v>2509</v>
      </c>
      <c r="B2510" s="2">
        <v>371.6534735784262</v>
      </c>
    </row>
    <row r="2511" spans="1:2">
      <c r="A2511">
        <v>2510</v>
      </c>
      <c r="B2511" s="2">
        <v>375.92414653244742</v>
      </c>
    </row>
    <row r="2512" spans="1:2">
      <c r="A2512">
        <v>2511</v>
      </c>
      <c r="B2512" s="2">
        <v>433.24555355832757</v>
      </c>
    </row>
    <row r="2513" spans="1:2">
      <c r="A2513">
        <v>2512</v>
      </c>
      <c r="B2513" s="2">
        <v>284.46126652052521</v>
      </c>
    </row>
    <row r="2514" spans="1:2">
      <c r="A2514">
        <v>2513</v>
      </c>
      <c r="B2514" s="2">
        <v>355.21924082382446</v>
      </c>
    </row>
    <row r="2515" spans="1:2">
      <c r="A2515">
        <v>2514</v>
      </c>
      <c r="B2515" s="2">
        <v>381.96024397618112</v>
      </c>
    </row>
    <row r="2516" spans="1:2">
      <c r="A2516">
        <v>2515</v>
      </c>
      <c r="B2516" s="2">
        <v>374.16753821686365</v>
      </c>
    </row>
    <row r="2517" spans="1:2">
      <c r="A2517">
        <v>2516</v>
      </c>
      <c r="B2517" s="2">
        <v>361.78381117454296</v>
      </c>
    </row>
    <row r="2518" spans="1:2">
      <c r="A2518">
        <v>2517</v>
      </c>
      <c r="B2518" s="2">
        <v>472.17744614678423</v>
      </c>
    </row>
    <row r="2519" spans="1:2">
      <c r="A2519">
        <v>2518</v>
      </c>
      <c r="B2519" s="2">
        <v>309.46156986534544</v>
      </c>
    </row>
    <row r="2520" spans="1:2">
      <c r="A2520">
        <v>2519</v>
      </c>
      <c r="B2520" s="2">
        <v>361.13148550372716</v>
      </c>
    </row>
    <row r="2521" spans="1:2">
      <c r="A2521">
        <v>2520</v>
      </c>
      <c r="B2521" s="2">
        <v>433.97971256222769</v>
      </c>
    </row>
    <row r="2522" spans="1:2">
      <c r="A2522">
        <v>2521</v>
      </c>
      <c r="B2522" s="2">
        <v>278.12782457462293</v>
      </c>
    </row>
    <row r="2523" spans="1:2">
      <c r="A2523">
        <v>2522</v>
      </c>
      <c r="B2523" s="2">
        <v>341.23657009421072</v>
      </c>
    </row>
    <row r="2524" spans="1:2">
      <c r="A2524">
        <v>2523</v>
      </c>
      <c r="B2524" s="2">
        <v>439.30713266767953</v>
      </c>
    </row>
    <row r="2525" spans="1:2">
      <c r="A2525">
        <v>2524</v>
      </c>
      <c r="B2525" s="2">
        <v>376.90852560065605</v>
      </c>
    </row>
    <row r="2526" spans="1:2">
      <c r="A2526">
        <v>2525</v>
      </c>
      <c r="B2526" s="2">
        <v>302.51570901940829</v>
      </c>
    </row>
    <row r="2527" spans="1:2">
      <c r="A2527">
        <v>2526</v>
      </c>
      <c r="B2527" s="2">
        <v>239.63992947866743</v>
      </c>
    </row>
    <row r="2528" spans="1:2">
      <c r="A2528">
        <v>2527</v>
      </c>
      <c r="B2528" s="2">
        <v>313.40613417514123</v>
      </c>
    </row>
    <row r="2529" spans="1:2">
      <c r="A2529">
        <v>2528</v>
      </c>
      <c r="B2529" s="2">
        <v>376.78673866556881</v>
      </c>
    </row>
    <row r="2530" spans="1:2">
      <c r="A2530">
        <v>2529</v>
      </c>
      <c r="B2530" s="2">
        <v>282.15933150012501</v>
      </c>
    </row>
    <row r="2531" spans="1:2">
      <c r="A2531">
        <v>2530</v>
      </c>
      <c r="B2531" s="2">
        <v>428.23690594401978</v>
      </c>
    </row>
    <row r="2532" spans="1:2">
      <c r="A2532">
        <v>2531</v>
      </c>
      <c r="B2532" s="2">
        <v>168.94381703996288</v>
      </c>
    </row>
    <row r="2533" spans="1:2">
      <c r="A2533">
        <v>2532</v>
      </c>
      <c r="B2533" s="2">
        <v>362.88302687821886</v>
      </c>
    </row>
    <row r="2534" spans="1:2">
      <c r="A2534">
        <v>2533</v>
      </c>
      <c r="B2534" s="2">
        <v>183.44536889445772</v>
      </c>
    </row>
    <row r="2535" spans="1:2">
      <c r="A2535">
        <v>2534</v>
      </c>
      <c r="B2535" s="2">
        <v>340.67694934854376</v>
      </c>
    </row>
    <row r="2536" spans="1:2">
      <c r="A2536">
        <v>2535</v>
      </c>
      <c r="B2536" s="2">
        <v>423.9724628914995</v>
      </c>
    </row>
    <row r="2537" spans="1:2">
      <c r="A2537">
        <v>2536</v>
      </c>
      <c r="B2537" s="2">
        <v>251.89449330893399</v>
      </c>
    </row>
    <row r="2538" spans="1:2">
      <c r="A2538">
        <v>2537</v>
      </c>
      <c r="B2538" s="2">
        <v>403.39744240261223</v>
      </c>
    </row>
    <row r="2539" spans="1:2">
      <c r="A2539">
        <v>2538</v>
      </c>
      <c r="B2539" s="2">
        <v>326.39077570622374</v>
      </c>
    </row>
    <row r="2540" spans="1:2">
      <c r="A2540">
        <v>2539</v>
      </c>
      <c r="B2540" s="2">
        <v>286.58946816597114</v>
      </c>
    </row>
    <row r="2541" spans="1:2">
      <c r="A2541">
        <v>2540</v>
      </c>
      <c r="B2541" s="2">
        <v>268.7081422751923</v>
      </c>
    </row>
    <row r="2542" spans="1:2">
      <c r="A2542">
        <v>2541</v>
      </c>
      <c r="B2542" s="2">
        <v>353.10597062063698</v>
      </c>
    </row>
    <row r="2543" spans="1:2">
      <c r="A2543">
        <v>2542</v>
      </c>
      <c r="B2543" s="2">
        <v>341.33783416174788</v>
      </c>
    </row>
    <row r="2544" spans="1:2">
      <c r="A2544">
        <v>2543</v>
      </c>
      <c r="B2544" s="2">
        <v>443.72917111396623</v>
      </c>
    </row>
    <row r="2545" spans="1:2">
      <c r="A2545">
        <v>2544</v>
      </c>
      <c r="B2545" s="2">
        <v>275.98073131896825</v>
      </c>
    </row>
    <row r="2546" spans="1:2">
      <c r="A2546">
        <v>2545</v>
      </c>
      <c r="B2546" s="2">
        <v>349.03469536682303</v>
      </c>
    </row>
    <row r="2547" spans="1:2">
      <c r="A2547">
        <v>2546</v>
      </c>
      <c r="B2547" s="2">
        <v>451.21673856846451</v>
      </c>
    </row>
    <row r="2548" spans="1:2">
      <c r="A2548">
        <v>2547</v>
      </c>
      <c r="B2548" s="2">
        <v>405.89891664036963</v>
      </c>
    </row>
    <row r="2549" spans="1:2">
      <c r="A2549">
        <v>2548</v>
      </c>
      <c r="B2549" s="2">
        <v>415.73411934190415</v>
      </c>
    </row>
    <row r="2550" spans="1:2">
      <c r="A2550">
        <v>2549</v>
      </c>
      <c r="B2550" s="2">
        <v>306.28245749927947</v>
      </c>
    </row>
    <row r="2551" spans="1:2">
      <c r="A2551">
        <v>2550</v>
      </c>
      <c r="B2551" s="2">
        <v>211.64595964232325</v>
      </c>
    </row>
    <row r="2552" spans="1:2">
      <c r="A2552">
        <v>2551</v>
      </c>
      <c r="B2552" s="2">
        <v>302.88313056815446</v>
      </c>
    </row>
    <row r="2553" spans="1:2">
      <c r="A2553">
        <v>2552</v>
      </c>
      <c r="B2553" s="2">
        <v>331.80625446315673</v>
      </c>
    </row>
    <row r="2554" spans="1:2">
      <c r="A2554">
        <v>2553</v>
      </c>
      <c r="B2554" s="2">
        <v>417.62982806590054</v>
      </c>
    </row>
    <row r="2555" spans="1:2">
      <c r="A2555">
        <v>2554</v>
      </c>
      <c r="B2555" s="2">
        <v>373.19553218449545</v>
      </c>
    </row>
    <row r="2556" spans="1:2">
      <c r="A2556">
        <v>2555</v>
      </c>
      <c r="B2556" s="2">
        <v>369.042749409875</v>
      </c>
    </row>
    <row r="2557" spans="1:2">
      <c r="A2557">
        <v>2556</v>
      </c>
      <c r="B2557" s="2">
        <v>334.48886974408288</v>
      </c>
    </row>
    <row r="2558" spans="1:2">
      <c r="A2558">
        <v>2557</v>
      </c>
      <c r="B2558" s="2">
        <v>331.08543578665399</v>
      </c>
    </row>
    <row r="2559" spans="1:2">
      <c r="A2559">
        <v>2558</v>
      </c>
      <c r="B2559" s="2">
        <v>378.12443955155874</v>
      </c>
    </row>
    <row r="2560" spans="1:2">
      <c r="A2560">
        <v>2559</v>
      </c>
      <c r="B2560" s="2">
        <v>299.23771915309783</v>
      </c>
    </row>
    <row r="2561" spans="1:2">
      <c r="A2561">
        <v>2560</v>
      </c>
      <c r="B2561" s="2">
        <v>490.91622495507204</v>
      </c>
    </row>
    <row r="2562" spans="1:2">
      <c r="A2562">
        <v>2561</v>
      </c>
      <c r="B2562" s="2">
        <v>392.67095384891644</v>
      </c>
    </row>
    <row r="2563" spans="1:2">
      <c r="A2563">
        <v>2562</v>
      </c>
      <c r="B2563" s="2">
        <v>388.64180640586108</v>
      </c>
    </row>
    <row r="2564" spans="1:2">
      <c r="A2564">
        <v>2563</v>
      </c>
      <c r="B2564" s="2">
        <v>412.89587715114391</v>
      </c>
    </row>
    <row r="2565" spans="1:2">
      <c r="A2565">
        <v>2564</v>
      </c>
      <c r="B2565" s="2">
        <v>476.99423656588874</v>
      </c>
    </row>
    <row r="2566" spans="1:2">
      <c r="A2566">
        <v>2565</v>
      </c>
      <c r="B2566" s="2">
        <v>322.8897803467222</v>
      </c>
    </row>
    <row r="2567" spans="1:2">
      <c r="A2567">
        <v>2566</v>
      </c>
      <c r="B2567" s="2">
        <v>280.46248754902103</v>
      </c>
    </row>
    <row r="2568" spans="1:2">
      <c r="A2568">
        <v>2567</v>
      </c>
      <c r="B2568" s="2">
        <v>403.07581065147735</v>
      </c>
    </row>
    <row r="2569" spans="1:2">
      <c r="A2569">
        <v>2568</v>
      </c>
      <c r="B2569" s="2">
        <v>324.44375128084084</v>
      </c>
    </row>
    <row r="2570" spans="1:2">
      <c r="A2570">
        <v>2569</v>
      </c>
      <c r="B2570" s="2">
        <v>515.00279448079277</v>
      </c>
    </row>
    <row r="2571" spans="1:2">
      <c r="A2571">
        <v>2570</v>
      </c>
      <c r="B2571" s="2">
        <v>499.66084884432087</v>
      </c>
    </row>
    <row r="2572" spans="1:2">
      <c r="A2572">
        <v>2571</v>
      </c>
      <c r="B2572" s="2">
        <v>275.28966396733927</v>
      </c>
    </row>
    <row r="2573" spans="1:2">
      <c r="A2573">
        <v>2572</v>
      </c>
      <c r="B2573" s="2">
        <v>252.58599808360498</v>
      </c>
    </row>
    <row r="2574" spans="1:2">
      <c r="A2574">
        <v>2573</v>
      </c>
      <c r="B2574" s="2">
        <v>421.49346422971524</v>
      </c>
    </row>
    <row r="2575" spans="1:2">
      <c r="A2575">
        <v>2574</v>
      </c>
      <c r="B2575" s="2">
        <v>355.12541976329612</v>
      </c>
    </row>
    <row r="2576" spans="1:2">
      <c r="A2576">
        <v>2575</v>
      </c>
      <c r="B2576" s="2">
        <v>365.56135472062908</v>
      </c>
    </row>
    <row r="2577" spans="1:2">
      <c r="A2577">
        <v>2576</v>
      </c>
      <c r="B2577" s="2">
        <v>341.44161941122047</v>
      </c>
    </row>
    <row r="2578" spans="1:2">
      <c r="A2578">
        <v>2577</v>
      </c>
      <c r="B2578" s="2">
        <v>484.07476146912023</v>
      </c>
    </row>
    <row r="2579" spans="1:2">
      <c r="A2579">
        <v>2578</v>
      </c>
      <c r="B2579" s="2">
        <v>309.94708325965968</v>
      </c>
    </row>
    <row r="2580" spans="1:2">
      <c r="A2580">
        <v>2579</v>
      </c>
      <c r="B2580" s="2">
        <v>296.97047648020794</v>
      </c>
    </row>
    <row r="2581" spans="1:2">
      <c r="A2581">
        <v>2580</v>
      </c>
      <c r="B2581" s="2">
        <v>322.62808199940002</v>
      </c>
    </row>
    <row r="2582" spans="1:2">
      <c r="A2582">
        <v>2581</v>
      </c>
      <c r="B2582" s="2">
        <v>329.23281070829188</v>
      </c>
    </row>
    <row r="2583" spans="1:2">
      <c r="A2583">
        <v>2582</v>
      </c>
      <c r="B2583" s="2">
        <v>295.69004255732852</v>
      </c>
    </row>
    <row r="2584" spans="1:2">
      <c r="A2584">
        <v>2583</v>
      </c>
      <c r="B2584" s="2">
        <v>318.09948075076858</v>
      </c>
    </row>
    <row r="2585" spans="1:2">
      <c r="A2585">
        <v>2584</v>
      </c>
      <c r="B2585" s="2">
        <v>292.64531997967526</v>
      </c>
    </row>
    <row r="2586" spans="1:2">
      <c r="A2586">
        <v>2585</v>
      </c>
      <c r="B2586" s="2">
        <v>302.68987168432784</v>
      </c>
    </row>
    <row r="2587" spans="1:2">
      <c r="A2587">
        <v>2586</v>
      </c>
      <c r="B2587" s="2">
        <v>394.84335916051725</v>
      </c>
    </row>
    <row r="2588" spans="1:2">
      <c r="A2588">
        <v>2587</v>
      </c>
      <c r="B2588" s="2">
        <v>167.50357740814295</v>
      </c>
    </row>
    <row r="2589" spans="1:2">
      <c r="A2589">
        <v>2588</v>
      </c>
      <c r="B2589" s="2">
        <v>417.42930144713171</v>
      </c>
    </row>
    <row r="2590" spans="1:2">
      <c r="A2590">
        <v>2589</v>
      </c>
      <c r="B2590" s="2">
        <v>423.21514006468669</v>
      </c>
    </row>
    <row r="2591" spans="1:2">
      <c r="A2591">
        <v>2590</v>
      </c>
      <c r="B2591" s="2">
        <v>211.81132572380932</v>
      </c>
    </row>
    <row r="2592" spans="1:2">
      <c r="A2592">
        <v>2591</v>
      </c>
      <c r="B2592" s="2">
        <v>340.99285783274848</v>
      </c>
    </row>
    <row r="2593" spans="1:2">
      <c r="A2593">
        <v>2592</v>
      </c>
      <c r="B2593" s="2">
        <v>430.88831242505046</v>
      </c>
    </row>
    <row r="2594" spans="1:2">
      <c r="A2594">
        <v>2593</v>
      </c>
      <c r="B2594" s="2">
        <v>296.36273986204321</v>
      </c>
    </row>
    <row r="2595" spans="1:2">
      <c r="A2595">
        <v>2594</v>
      </c>
      <c r="B2595" s="2">
        <v>379.53150642764581</v>
      </c>
    </row>
    <row r="2596" spans="1:2">
      <c r="A2596">
        <v>2595</v>
      </c>
      <c r="B2596" s="2">
        <v>399.63571038828138</v>
      </c>
    </row>
    <row r="2597" spans="1:2">
      <c r="A2597">
        <v>2596</v>
      </c>
      <c r="B2597" s="2">
        <v>425.819748944639</v>
      </c>
    </row>
    <row r="2598" spans="1:2">
      <c r="A2598">
        <v>2597</v>
      </c>
      <c r="B2598" s="2">
        <v>381.3516262327787</v>
      </c>
    </row>
    <row r="2599" spans="1:2">
      <c r="A2599">
        <v>2598</v>
      </c>
      <c r="B2599" s="2">
        <v>378.85721829390525</v>
      </c>
    </row>
    <row r="2600" spans="1:2">
      <c r="A2600">
        <v>2599</v>
      </c>
      <c r="B2600" s="2">
        <v>490.50347322858698</v>
      </c>
    </row>
    <row r="2601" spans="1:2">
      <c r="A2601">
        <v>2600</v>
      </c>
      <c r="B2601" s="2">
        <v>417.03312329773985</v>
      </c>
    </row>
    <row r="2602" spans="1:2">
      <c r="A2602">
        <v>2601</v>
      </c>
      <c r="B2602" s="2">
        <v>296.8482395024696</v>
      </c>
    </row>
    <row r="2603" spans="1:2">
      <c r="A2603">
        <v>2602</v>
      </c>
      <c r="B2603" s="2">
        <v>393.76778567728928</v>
      </c>
    </row>
    <row r="2604" spans="1:2">
      <c r="A2604">
        <v>2603</v>
      </c>
      <c r="B2604" s="2">
        <v>344.70301788488734</v>
      </c>
    </row>
    <row r="2605" spans="1:2">
      <c r="A2605">
        <v>2604</v>
      </c>
      <c r="B2605" s="2">
        <v>383.60978180037711</v>
      </c>
    </row>
    <row r="2606" spans="1:2">
      <c r="A2606">
        <v>2605</v>
      </c>
      <c r="B2606" s="2">
        <v>338.14310082223528</v>
      </c>
    </row>
    <row r="2607" spans="1:2">
      <c r="A2607">
        <v>2606</v>
      </c>
      <c r="B2607" s="2">
        <v>246.66155558805121</v>
      </c>
    </row>
    <row r="2608" spans="1:2">
      <c r="A2608">
        <v>2607</v>
      </c>
      <c r="B2608" s="2">
        <v>311.56483971837014</v>
      </c>
    </row>
    <row r="2609" spans="1:2">
      <c r="A2609">
        <v>2608</v>
      </c>
      <c r="B2609" s="2">
        <v>408.30063462239139</v>
      </c>
    </row>
    <row r="2610" spans="1:2">
      <c r="A2610">
        <v>2609</v>
      </c>
      <c r="B2610" s="2">
        <v>263.01238538018549</v>
      </c>
    </row>
    <row r="2611" spans="1:2">
      <c r="A2611">
        <v>2610</v>
      </c>
      <c r="B2611" s="2">
        <v>350.65873800121489</v>
      </c>
    </row>
    <row r="2612" spans="1:2">
      <c r="A2612">
        <v>2611</v>
      </c>
      <c r="B2612" s="2">
        <v>459.04787755565866</v>
      </c>
    </row>
    <row r="2613" spans="1:2">
      <c r="A2613">
        <v>2612</v>
      </c>
      <c r="B2613" s="2">
        <v>328.68979953661147</v>
      </c>
    </row>
    <row r="2614" spans="1:2">
      <c r="A2614">
        <v>2613</v>
      </c>
      <c r="B2614" s="2">
        <v>463.56117913454119</v>
      </c>
    </row>
    <row r="2615" spans="1:2">
      <c r="A2615">
        <v>2614</v>
      </c>
      <c r="B2615" s="2">
        <v>446.24041457481508</v>
      </c>
    </row>
    <row r="2616" spans="1:2">
      <c r="A2616">
        <v>2615</v>
      </c>
      <c r="B2616" s="2">
        <v>294.17345345831757</v>
      </c>
    </row>
    <row r="2617" spans="1:2">
      <c r="A2617">
        <v>2616</v>
      </c>
      <c r="B2617" s="2">
        <v>269.81618569320369</v>
      </c>
    </row>
    <row r="2618" spans="1:2">
      <c r="A2618">
        <v>2617</v>
      </c>
      <c r="B2618" s="2">
        <v>337.80674172284193</v>
      </c>
    </row>
    <row r="2619" spans="1:2">
      <c r="A2619">
        <v>2618</v>
      </c>
      <c r="B2619" s="2">
        <v>295.82183994804916</v>
      </c>
    </row>
    <row r="2620" spans="1:2">
      <c r="A2620">
        <v>2619</v>
      </c>
      <c r="B2620" s="2">
        <v>437.70034283109254</v>
      </c>
    </row>
    <row r="2621" spans="1:2">
      <c r="A2621">
        <v>2620</v>
      </c>
      <c r="B2621" s="2">
        <v>414.86263643085567</v>
      </c>
    </row>
    <row r="2622" spans="1:2">
      <c r="A2622">
        <v>2621</v>
      </c>
      <c r="B2622" s="2">
        <v>424.30312588299955</v>
      </c>
    </row>
    <row r="2623" spans="1:2">
      <c r="A2623">
        <v>2622</v>
      </c>
      <c r="B2623" s="2">
        <v>327.96553451063335</v>
      </c>
    </row>
    <row r="2624" spans="1:2">
      <c r="A2624">
        <v>2623</v>
      </c>
      <c r="B2624" s="2">
        <v>407.41181683057749</v>
      </c>
    </row>
    <row r="2625" spans="1:2">
      <c r="A2625">
        <v>2624</v>
      </c>
      <c r="B2625" s="2">
        <v>296.95221814260344</v>
      </c>
    </row>
    <row r="2626" spans="1:2">
      <c r="A2626">
        <v>2625</v>
      </c>
      <c r="B2626" s="2">
        <v>354.1650038330913</v>
      </c>
    </row>
    <row r="2627" spans="1:2">
      <c r="A2627">
        <v>2626</v>
      </c>
      <c r="B2627" s="2">
        <v>294.83745967374352</v>
      </c>
    </row>
    <row r="2628" spans="1:2">
      <c r="A2628">
        <v>2627</v>
      </c>
      <c r="B2628" s="2">
        <v>377.14925803186907</v>
      </c>
    </row>
    <row r="2629" spans="1:2">
      <c r="A2629">
        <v>2628</v>
      </c>
      <c r="B2629" s="2">
        <v>177.53845061746108</v>
      </c>
    </row>
    <row r="2630" spans="1:2">
      <c r="A2630">
        <v>2629</v>
      </c>
      <c r="B2630" s="2">
        <v>348.46245525563614</v>
      </c>
    </row>
    <row r="2631" spans="1:2">
      <c r="A2631">
        <v>2630</v>
      </c>
      <c r="B2631" s="2">
        <v>278.05127746220808</v>
      </c>
    </row>
    <row r="2632" spans="1:2">
      <c r="A2632">
        <v>2631</v>
      </c>
      <c r="B2632" s="2">
        <v>331.21791957131518</v>
      </c>
    </row>
    <row r="2633" spans="1:2">
      <c r="A2633">
        <v>2632</v>
      </c>
      <c r="B2633" s="2">
        <v>535.30209163404788</v>
      </c>
    </row>
    <row r="2634" spans="1:2">
      <c r="A2634">
        <v>2633</v>
      </c>
      <c r="B2634" s="2">
        <v>298.08947483764223</v>
      </c>
    </row>
    <row r="2635" spans="1:2">
      <c r="A2635">
        <v>2634</v>
      </c>
      <c r="B2635" s="2">
        <v>329.16705966836275</v>
      </c>
    </row>
    <row r="2636" spans="1:2">
      <c r="A2636">
        <v>2635</v>
      </c>
      <c r="B2636" s="2">
        <v>385.91200783507782</v>
      </c>
    </row>
    <row r="2637" spans="1:2">
      <c r="A2637">
        <v>2636</v>
      </c>
      <c r="B2637" s="2">
        <v>190.38097147185402</v>
      </c>
    </row>
    <row r="2638" spans="1:2">
      <c r="A2638">
        <v>2637</v>
      </c>
      <c r="B2638" s="2">
        <v>304.09832843388716</v>
      </c>
    </row>
    <row r="2639" spans="1:2">
      <c r="A2639">
        <v>2638</v>
      </c>
      <c r="B2639" s="2">
        <v>272.34619633068763</v>
      </c>
    </row>
    <row r="2640" spans="1:2">
      <c r="A2640">
        <v>2639</v>
      </c>
      <c r="B2640" s="2">
        <v>333.91326648473978</v>
      </c>
    </row>
    <row r="2641" spans="1:2">
      <c r="A2641">
        <v>2640</v>
      </c>
      <c r="B2641" s="2">
        <v>171.46419464210419</v>
      </c>
    </row>
    <row r="2642" spans="1:2">
      <c r="A2642">
        <v>2641</v>
      </c>
      <c r="B2642" s="2">
        <v>381.16110641324667</v>
      </c>
    </row>
    <row r="2643" spans="1:2">
      <c r="A2643">
        <v>2642</v>
      </c>
      <c r="B2643" s="2">
        <v>274.91434319582822</v>
      </c>
    </row>
    <row r="2644" spans="1:2">
      <c r="A2644">
        <v>2643</v>
      </c>
      <c r="B2644" s="2">
        <v>318.00961277402661</v>
      </c>
    </row>
    <row r="2645" spans="1:2">
      <c r="A2645">
        <v>2644</v>
      </c>
      <c r="B2645" s="2">
        <v>386.68762640968589</v>
      </c>
    </row>
    <row r="2646" spans="1:2">
      <c r="A2646">
        <v>2645</v>
      </c>
      <c r="B2646" s="2">
        <v>442.55196298317912</v>
      </c>
    </row>
    <row r="2647" spans="1:2">
      <c r="A2647">
        <v>2646</v>
      </c>
      <c r="B2647" s="2">
        <v>312.05456260755335</v>
      </c>
    </row>
    <row r="2648" spans="1:2">
      <c r="A2648">
        <v>2647</v>
      </c>
      <c r="B2648" s="2">
        <v>386.4502590975855</v>
      </c>
    </row>
    <row r="2649" spans="1:2">
      <c r="A2649">
        <v>2648</v>
      </c>
      <c r="B2649" s="2">
        <v>406.64220350518184</v>
      </c>
    </row>
    <row r="2650" spans="1:2">
      <c r="A2650">
        <v>2649</v>
      </c>
      <c r="B2650" s="2">
        <v>309.20528426232056</v>
      </c>
    </row>
    <row r="2651" spans="1:2">
      <c r="A2651">
        <v>2650</v>
      </c>
      <c r="B2651" s="2">
        <v>475.97477660531183</v>
      </c>
    </row>
    <row r="2652" spans="1:2">
      <c r="A2652">
        <v>2651</v>
      </c>
      <c r="B2652" s="2">
        <v>281.6670391142668</v>
      </c>
    </row>
    <row r="2653" spans="1:2">
      <c r="A2653">
        <v>2652</v>
      </c>
      <c r="B2653" s="2">
        <v>360.77398508929889</v>
      </c>
    </row>
    <row r="2654" spans="1:2">
      <c r="A2654">
        <v>2653</v>
      </c>
      <c r="B2654" s="2">
        <v>234.69589801562444</v>
      </c>
    </row>
    <row r="2655" spans="1:2">
      <c r="A2655">
        <v>2654</v>
      </c>
      <c r="B2655" s="2">
        <v>317.32086305934729</v>
      </c>
    </row>
    <row r="2656" spans="1:2">
      <c r="A2656">
        <v>2655</v>
      </c>
      <c r="B2656" s="2">
        <v>288.24075753397597</v>
      </c>
    </row>
    <row r="2657" spans="1:2">
      <c r="A2657">
        <v>2656</v>
      </c>
      <c r="B2657" s="2">
        <v>333.30370103859582</v>
      </c>
    </row>
    <row r="2658" spans="1:2">
      <c r="A2658">
        <v>2657</v>
      </c>
      <c r="B2658" s="2">
        <v>273.25472218456127</v>
      </c>
    </row>
    <row r="2659" spans="1:2">
      <c r="A2659">
        <v>2658</v>
      </c>
      <c r="B2659" s="2">
        <v>505.86078663026058</v>
      </c>
    </row>
    <row r="2660" spans="1:2">
      <c r="A2660">
        <v>2659</v>
      </c>
      <c r="B2660" s="2">
        <v>504.37026116374386</v>
      </c>
    </row>
    <row r="2661" spans="1:2">
      <c r="A2661">
        <v>2660</v>
      </c>
      <c r="B2661" s="2">
        <v>235.48878725934938</v>
      </c>
    </row>
    <row r="2662" spans="1:2">
      <c r="A2662">
        <v>2661</v>
      </c>
      <c r="B2662" s="2">
        <v>350.81111282180285</v>
      </c>
    </row>
    <row r="2663" spans="1:2">
      <c r="A2663">
        <v>2662</v>
      </c>
      <c r="B2663" s="2">
        <v>330.13503309884356</v>
      </c>
    </row>
    <row r="2664" spans="1:2">
      <c r="A2664">
        <v>2663</v>
      </c>
      <c r="B2664" s="2">
        <v>427.18526169916402</v>
      </c>
    </row>
    <row r="2665" spans="1:2">
      <c r="A2665">
        <v>2664</v>
      </c>
      <c r="B2665" s="2">
        <v>583.54417049299491</v>
      </c>
    </row>
    <row r="2666" spans="1:2">
      <c r="A2666">
        <v>2665</v>
      </c>
      <c r="B2666" s="2">
        <v>389.52704240131555</v>
      </c>
    </row>
    <row r="2667" spans="1:2">
      <c r="A2667">
        <v>2666</v>
      </c>
      <c r="B2667" s="2">
        <v>137.23462083299867</v>
      </c>
    </row>
    <row r="2668" spans="1:2">
      <c r="A2668">
        <v>2667</v>
      </c>
      <c r="B2668" s="2">
        <v>244.68763531203692</v>
      </c>
    </row>
    <row r="2669" spans="1:2">
      <c r="A2669">
        <v>2668</v>
      </c>
      <c r="B2669" s="2">
        <v>437.33904624936872</v>
      </c>
    </row>
    <row r="2670" spans="1:2">
      <c r="A2670">
        <v>2669</v>
      </c>
      <c r="B2670" s="2">
        <v>173.18732587756045</v>
      </c>
    </row>
    <row r="2671" spans="1:2">
      <c r="A2671">
        <v>2670</v>
      </c>
      <c r="B2671" s="2">
        <v>356.09925761568775</v>
      </c>
    </row>
    <row r="2672" spans="1:2">
      <c r="A2672">
        <v>2671</v>
      </c>
      <c r="B2672" s="2">
        <v>308.00456063034932</v>
      </c>
    </row>
    <row r="2673" spans="1:2">
      <c r="A2673">
        <v>2672</v>
      </c>
      <c r="B2673" s="2">
        <v>334.79408336165051</v>
      </c>
    </row>
    <row r="2674" spans="1:2">
      <c r="A2674">
        <v>2673</v>
      </c>
      <c r="B2674" s="2">
        <v>232.47798627143442</v>
      </c>
    </row>
    <row r="2675" spans="1:2">
      <c r="A2675">
        <v>2674</v>
      </c>
      <c r="B2675" s="2">
        <v>432.57305645624393</v>
      </c>
    </row>
    <row r="2676" spans="1:2">
      <c r="A2676">
        <v>2675</v>
      </c>
      <c r="B2676" s="2">
        <v>474.6929982662158</v>
      </c>
    </row>
    <row r="2677" spans="1:2">
      <c r="A2677">
        <v>2676</v>
      </c>
      <c r="B2677" s="2">
        <v>354.12808154374056</v>
      </c>
    </row>
    <row r="2678" spans="1:2">
      <c r="A2678">
        <v>2677</v>
      </c>
      <c r="B2678" s="2">
        <v>337.18407783980467</v>
      </c>
    </row>
    <row r="2679" spans="1:2">
      <c r="A2679">
        <v>2678</v>
      </c>
      <c r="B2679" s="2">
        <v>256.60176406594871</v>
      </c>
    </row>
    <row r="2680" spans="1:2">
      <c r="A2680">
        <v>2679</v>
      </c>
      <c r="B2680" s="2">
        <v>394.27116224242133</v>
      </c>
    </row>
    <row r="2681" spans="1:2">
      <c r="A2681">
        <v>2680</v>
      </c>
      <c r="B2681" s="2">
        <v>402.35342539375171</v>
      </c>
    </row>
    <row r="2682" spans="1:2">
      <c r="A2682">
        <v>2681</v>
      </c>
      <c r="B2682" s="2">
        <v>399.21104474164133</v>
      </c>
    </row>
    <row r="2683" spans="1:2">
      <c r="A2683">
        <v>2682</v>
      </c>
      <c r="B2683" s="2">
        <v>374.06527702023783</v>
      </c>
    </row>
    <row r="2684" spans="1:2">
      <c r="A2684">
        <v>2683</v>
      </c>
      <c r="B2684" s="2">
        <v>252.68460729632341</v>
      </c>
    </row>
    <row r="2685" spans="1:2">
      <c r="A2685">
        <v>2684</v>
      </c>
      <c r="B2685" s="2">
        <v>288.23141065566892</v>
      </c>
    </row>
    <row r="2686" spans="1:2">
      <c r="A2686">
        <v>2685</v>
      </c>
      <c r="B2686" s="2">
        <v>288.75570546287406</v>
      </c>
    </row>
    <row r="2687" spans="1:2">
      <c r="A2687">
        <v>2686</v>
      </c>
      <c r="B2687" s="2">
        <v>411.25563274731866</v>
      </c>
    </row>
    <row r="2688" spans="1:2">
      <c r="A2688">
        <v>2687</v>
      </c>
      <c r="B2688" s="2">
        <v>205.89290435315584</v>
      </c>
    </row>
    <row r="2689" spans="1:2">
      <c r="A2689">
        <v>2688</v>
      </c>
      <c r="B2689" s="2">
        <v>476.07734526699392</v>
      </c>
    </row>
    <row r="2690" spans="1:2">
      <c r="A2690">
        <v>2689</v>
      </c>
      <c r="B2690" s="2">
        <v>316.91640205960414</v>
      </c>
    </row>
    <row r="2691" spans="1:2">
      <c r="A2691">
        <v>2690</v>
      </c>
      <c r="B2691" s="2">
        <v>226.88014000968258</v>
      </c>
    </row>
    <row r="2692" spans="1:2">
      <c r="A2692">
        <v>2691</v>
      </c>
      <c r="B2692" s="2">
        <v>164.13924481413446</v>
      </c>
    </row>
    <row r="2693" spans="1:2">
      <c r="A2693">
        <v>2692</v>
      </c>
      <c r="B2693" s="2">
        <v>331.01714486783777</v>
      </c>
    </row>
    <row r="2694" spans="1:2">
      <c r="A2694">
        <v>2693</v>
      </c>
      <c r="B2694" s="2">
        <v>426.25819524322151</v>
      </c>
    </row>
    <row r="2695" spans="1:2">
      <c r="A2695">
        <v>2694</v>
      </c>
      <c r="B2695" s="2">
        <v>253.24483681911966</v>
      </c>
    </row>
    <row r="2696" spans="1:2">
      <c r="A2696">
        <v>2695</v>
      </c>
      <c r="B2696" s="2">
        <v>366.77067986964096</v>
      </c>
    </row>
    <row r="2697" spans="1:2">
      <c r="A2697">
        <v>2696</v>
      </c>
      <c r="B2697" s="2">
        <v>517.25602644149831</v>
      </c>
    </row>
    <row r="2698" spans="1:2">
      <c r="A2698">
        <v>2697</v>
      </c>
      <c r="B2698" s="2">
        <v>444.08702458154039</v>
      </c>
    </row>
    <row r="2699" spans="1:2">
      <c r="A2699">
        <v>2698</v>
      </c>
      <c r="B2699" s="2">
        <v>341.35633225401011</v>
      </c>
    </row>
    <row r="2700" spans="1:2">
      <c r="A2700">
        <v>2699</v>
      </c>
      <c r="B2700" s="2">
        <v>265.66578821736448</v>
      </c>
    </row>
    <row r="2701" spans="1:2">
      <c r="A2701">
        <v>2700</v>
      </c>
      <c r="B2701" s="2">
        <v>485.97446194757026</v>
      </c>
    </row>
    <row r="2702" spans="1:2">
      <c r="A2702">
        <v>2701</v>
      </c>
      <c r="B2702" s="2">
        <v>298.26684303253614</v>
      </c>
    </row>
    <row r="2703" spans="1:2">
      <c r="A2703">
        <v>2702</v>
      </c>
      <c r="B2703" s="2">
        <v>400.02095709511116</v>
      </c>
    </row>
    <row r="2704" spans="1:2">
      <c r="A2704">
        <v>2703</v>
      </c>
      <c r="B2704" s="2">
        <v>266.23052737271735</v>
      </c>
    </row>
    <row r="2705" spans="1:2">
      <c r="A2705">
        <v>2704</v>
      </c>
      <c r="B2705" s="2">
        <v>470.59934385388374</v>
      </c>
    </row>
    <row r="2706" spans="1:2">
      <c r="A2706">
        <v>2705</v>
      </c>
      <c r="B2706" s="2">
        <v>328.10709331258948</v>
      </c>
    </row>
    <row r="2707" spans="1:2">
      <c r="A2707">
        <v>2706</v>
      </c>
      <c r="B2707" s="2">
        <v>394.05798733850099</v>
      </c>
    </row>
    <row r="2708" spans="1:2">
      <c r="A2708">
        <v>2707</v>
      </c>
      <c r="B2708" s="2">
        <v>289.84589390397718</v>
      </c>
    </row>
    <row r="2709" spans="1:2">
      <c r="A2709">
        <v>2708</v>
      </c>
      <c r="B2709" s="2">
        <v>357.13810071841863</v>
      </c>
    </row>
    <row r="2710" spans="1:2">
      <c r="A2710">
        <v>2709</v>
      </c>
      <c r="B2710" s="2">
        <v>364.42366278869019</v>
      </c>
    </row>
    <row r="2711" spans="1:2">
      <c r="A2711">
        <v>2710</v>
      </c>
      <c r="B2711" s="2">
        <v>415.81895284444363</v>
      </c>
    </row>
    <row r="2712" spans="1:2">
      <c r="A2712">
        <v>2711</v>
      </c>
      <c r="B2712" s="2">
        <v>231.22492442115731</v>
      </c>
    </row>
    <row r="2713" spans="1:2">
      <c r="A2713">
        <v>2712</v>
      </c>
      <c r="B2713" s="2">
        <v>339.45180429873864</v>
      </c>
    </row>
    <row r="2714" spans="1:2">
      <c r="A2714">
        <v>2713</v>
      </c>
      <c r="B2714" s="2">
        <v>236.93385461967586</v>
      </c>
    </row>
    <row r="2715" spans="1:2">
      <c r="A2715">
        <v>2714</v>
      </c>
      <c r="B2715" s="2">
        <v>388.79808722572994</v>
      </c>
    </row>
    <row r="2716" spans="1:2">
      <c r="A2716">
        <v>2715</v>
      </c>
      <c r="B2716" s="2">
        <v>193.94037728909603</v>
      </c>
    </row>
    <row r="2717" spans="1:2">
      <c r="A2717">
        <v>2716</v>
      </c>
      <c r="B2717" s="2">
        <v>582.59579435630326</v>
      </c>
    </row>
    <row r="2718" spans="1:2">
      <c r="A2718">
        <v>2717</v>
      </c>
      <c r="B2718" s="2">
        <v>437.5145701456313</v>
      </c>
    </row>
    <row r="2719" spans="1:2">
      <c r="A2719">
        <v>2718</v>
      </c>
      <c r="B2719" s="2">
        <v>503.19324304106459</v>
      </c>
    </row>
    <row r="2720" spans="1:2">
      <c r="A2720">
        <v>2719</v>
      </c>
      <c r="B2720" s="2">
        <v>342.56069922344096</v>
      </c>
    </row>
    <row r="2721" spans="1:2">
      <c r="A2721">
        <v>2720</v>
      </c>
      <c r="B2721" s="2">
        <v>303.29921590994235</v>
      </c>
    </row>
    <row r="2722" spans="1:2">
      <c r="A2722">
        <v>2721</v>
      </c>
      <c r="B2722" s="2">
        <v>317.8289517390366</v>
      </c>
    </row>
    <row r="2723" spans="1:2">
      <c r="A2723">
        <v>2722</v>
      </c>
      <c r="B2723" s="2">
        <v>308.75133531472511</v>
      </c>
    </row>
    <row r="2724" spans="1:2">
      <c r="A2724">
        <v>2723</v>
      </c>
      <c r="B2724" s="2">
        <v>382.84295329656049</v>
      </c>
    </row>
    <row r="2725" spans="1:2">
      <c r="A2725">
        <v>2724</v>
      </c>
      <c r="B2725" s="2">
        <v>174.34281450450146</v>
      </c>
    </row>
    <row r="2726" spans="1:2">
      <c r="A2726">
        <v>2725</v>
      </c>
      <c r="B2726" s="2">
        <v>474.08804569018906</v>
      </c>
    </row>
    <row r="2727" spans="1:2">
      <c r="A2727">
        <v>2726</v>
      </c>
      <c r="B2727" s="2">
        <v>192.45524891961747</v>
      </c>
    </row>
    <row r="2728" spans="1:2">
      <c r="A2728">
        <v>2727</v>
      </c>
      <c r="B2728" s="2">
        <v>244.1369003562661</v>
      </c>
    </row>
    <row r="2729" spans="1:2">
      <c r="A2729">
        <v>2728</v>
      </c>
      <c r="B2729" s="2">
        <v>366.44968925509636</v>
      </c>
    </row>
    <row r="2730" spans="1:2">
      <c r="A2730">
        <v>2729</v>
      </c>
      <c r="B2730" s="2">
        <v>373.00909010719806</v>
      </c>
    </row>
    <row r="2731" spans="1:2">
      <c r="A2731">
        <v>2730</v>
      </c>
      <c r="B2731" s="2">
        <v>231.66752422221674</v>
      </c>
    </row>
    <row r="2732" spans="1:2">
      <c r="A2732">
        <v>2731</v>
      </c>
      <c r="B2732" s="2">
        <v>322.05909595700251</v>
      </c>
    </row>
    <row r="2733" spans="1:2">
      <c r="A2733">
        <v>2732</v>
      </c>
      <c r="B2733" s="2">
        <v>398.60964765752641</v>
      </c>
    </row>
    <row r="2734" spans="1:2">
      <c r="A2734">
        <v>2733</v>
      </c>
      <c r="B2734" s="2">
        <v>454.24288739241683</v>
      </c>
    </row>
    <row r="2735" spans="1:2">
      <c r="A2735">
        <v>2734</v>
      </c>
      <c r="B2735" s="2">
        <v>320.6591315425801</v>
      </c>
    </row>
    <row r="2736" spans="1:2">
      <c r="A2736">
        <v>2735</v>
      </c>
      <c r="B2736" s="2">
        <v>329.07085535824706</v>
      </c>
    </row>
    <row r="2737" spans="1:2">
      <c r="A2737">
        <v>2736</v>
      </c>
      <c r="B2737" s="2">
        <v>325.22859179634463</v>
      </c>
    </row>
    <row r="2738" spans="1:2">
      <c r="A2738">
        <v>2737</v>
      </c>
      <c r="B2738" s="2">
        <v>240.48331923143223</v>
      </c>
    </row>
    <row r="2739" spans="1:2">
      <c r="A2739">
        <v>2738</v>
      </c>
      <c r="B2739" s="2">
        <v>423.77548916116348</v>
      </c>
    </row>
    <row r="2740" spans="1:2">
      <c r="A2740">
        <v>2739</v>
      </c>
      <c r="B2740" s="2">
        <v>414.42633928522832</v>
      </c>
    </row>
    <row r="2741" spans="1:2">
      <c r="A2741">
        <v>2740</v>
      </c>
      <c r="B2741" s="2">
        <v>484.91528225740404</v>
      </c>
    </row>
    <row r="2742" spans="1:2">
      <c r="A2742">
        <v>2741</v>
      </c>
      <c r="B2742" s="2">
        <v>289.04460525035006</v>
      </c>
    </row>
    <row r="2743" spans="1:2">
      <c r="A2743">
        <v>2742</v>
      </c>
      <c r="B2743" s="2">
        <v>121.06083520313953</v>
      </c>
    </row>
    <row r="2744" spans="1:2">
      <c r="A2744">
        <v>2743</v>
      </c>
      <c r="B2744" s="2">
        <v>335.47082015334877</v>
      </c>
    </row>
    <row r="2745" spans="1:2">
      <c r="A2745">
        <v>2744</v>
      </c>
      <c r="B2745" s="2">
        <v>124.83489332882199</v>
      </c>
    </row>
    <row r="2746" spans="1:2">
      <c r="A2746">
        <v>2745</v>
      </c>
      <c r="B2746" s="2">
        <v>289.60300254989534</v>
      </c>
    </row>
    <row r="2747" spans="1:2">
      <c r="A2747">
        <v>2746</v>
      </c>
      <c r="B2747" s="2">
        <v>352.48738649916214</v>
      </c>
    </row>
    <row r="2748" spans="1:2">
      <c r="A2748">
        <v>2747</v>
      </c>
      <c r="B2748" s="2">
        <v>426.99221109444449</v>
      </c>
    </row>
    <row r="2749" spans="1:2">
      <c r="A2749">
        <v>2748</v>
      </c>
      <c r="B2749" s="2">
        <v>206.00618495422091</v>
      </c>
    </row>
    <row r="2750" spans="1:2">
      <c r="A2750">
        <v>2749</v>
      </c>
      <c r="B2750" s="2">
        <v>479.69289744923162</v>
      </c>
    </row>
    <row r="2751" spans="1:2">
      <c r="A2751">
        <v>2750</v>
      </c>
      <c r="B2751" s="2">
        <v>238.67805354722154</v>
      </c>
    </row>
    <row r="2752" spans="1:2">
      <c r="A2752">
        <v>2751</v>
      </c>
      <c r="B2752" s="2">
        <v>240.80763301587615</v>
      </c>
    </row>
    <row r="2753" spans="1:2">
      <c r="A2753">
        <v>2752</v>
      </c>
      <c r="B2753" s="2">
        <v>437.13904986375621</v>
      </c>
    </row>
    <row r="2754" spans="1:2">
      <c r="A2754">
        <v>2753</v>
      </c>
      <c r="B2754" s="2">
        <v>333.13242443676347</v>
      </c>
    </row>
    <row r="2755" spans="1:2">
      <c r="A2755">
        <v>2754</v>
      </c>
      <c r="B2755" s="2">
        <v>416.42864789533633</v>
      </c>
    </row>
    <row r="2756" spans="1:2">
      <c r="A2756">
        <v>2755</v>
      </c>
      <c r="B2756" s="2">
        <v>331.09420066848827</v>
      </c>
    </row>
    <row r="2757" spans="1:2">
      <c r="A2757">
        <v>2756</v>
      </c>
      <c r="B2757" s="2">
        <v>167.08199665975391</v>
      </c>
    </row>
    <row r="2758" spans="1:2">
      <c r="A2758">
        <v>2757</v>
      </c>
      <c r="B2758" s="2">
        <v>445.41770527418271</v>
      </c>
    </row>
    <row r="2759" spans="1:2">
      <c r="A2759">
        <v>2758</v>
      </c>
      <c r="B2759" s="2">
        <v>361.10559835779026</v>
      </c>
    </row>
    <row r="2760" spans="1:2">
      <c r="A2760">
        <v>2759</v>
      </c>
      <c r="B2760" s="2">
        <v>312.67284487276606</v>
      </c>
    </row>
    <row r="2761" spans="1:2">
      <c r="A2761">
        <v>2760</v>
      </c>
      <c r="B2761" s="2">
        <v>370.309452343462</v>
      </c>
    </row>
    <row r="2762" spans="1:2">
      <c r="A2762">
        <v>2761</v>
      </c>
      <c r="B2762" s="2">
        <v>311.70852302995263</v>
      </c>
    </row>
    <row r="2763" spans="1:2">
      <c r="A2763">
        <v>2762</v>
      </c>
      <c r="B2763" s="2">
        <v>387.36951906116497</v>
      </c>
    </row>
    <row r="2764" spans="1:2">
      <c r="A2764">
        <v>2763</v>
      </c>
      <c r="B2764" s="2">
        <v>485.79503266297525</v>
      </c>
    </row>
    <row r="2765" spans="1:2">
      <c r="A2765">
        <v>2764</v>
      </c>
      <c r="B2765" s="2">
        <v>342.54667234258903</v>
      </c>
    </row>
    <row r="2766" spans="1:2">
      <c r="A2766">
        <v>2765</v>
      </c>
      <c r="B2766" s="2">
        <v>248.37108055140294</v>
      </c>
    </row>
    <row r="2767" spans="1:2">
      <c r="A2767">
        <v>2766</v>
      </c>
      <c r="B2767" s="2">
        <v>301.59856571541985</v>
      </c>
    </row>
    <row r="2768" spans="1:2">
      <c r="A2768">
        <v>2767</v>
      </c>
      <c r="B2768" s="2">
        <v>274.52402258628263</v>
      </c>
    </row>
    <row r="2769" spans="1:2">
      <c r="A2769">
        <v>2768</v>
      </c>
      <c r="B2769" s="2">
        <v>402.35345733231458</v>
      </c>
    </row>
    <row r="2770" spans="1:2">
      <c r="A2770">
        <v>2769</v>
      </c>
      <c r="B2770" s="2">
        <v>266.33302280070393</v>
      </c>
    </row>
    <row r="2771" spans="1:2">
      <c r="A2771">
        <v>2770</v>
      </c>
      <c r="B2771" s="2">
        <v>362.27220309031213</v>
      </c>
    </row>
    <row r="2772" spans="1:2">
      <c r="A2772">
        <v>2771</v>
      </c>
      <c r="B2772" s="2">
        <v>371.03095283106404</v>
      </c>
    </row>
    <row r="2773" spans="1:2">
      <c r="A2773">
        <v>2772</v>
      </c>
      <c r="B2773" s="2">
        <v>169.92063378414736</v>
      </c>
    </row>
    <row r="2774" spans="1:2">
      <c r="A2774">
        <v>2773</v>
      </c>
      <c r="B2774" s="2">
        <v>455.23947655355261</v>
      </c>
    </row>
    <row r="2775" spans="1:2">
      <c r="A2775">
        <v>2774</v>
      </c>
      <c r="B2775" s="2">
        <v>364.28065664371104</v>
      </c>
    </row>
    <row r="2776" spans="1:2">
      <c r="A2776">
        <v>2775</v>
      </c>
      <c r="B2776" s="2">
        <v>311.48745766716502</v>
      </c>
    </row>
    <row r="2777" spans="1:2">
      <c r="A2777">
        <v>2776</v>
      </c>
      <c r="B2777" s="2">
        <v>403.07094387165967</v>
      </c>
    </row>
    <row r="2778" spans="1:2">
      <c r="A2778">
        <v>2777</v>
      </c>
      <c r="B2778" s="2">
        <v>329.43646271290066</v>
      </c>
    </row>
    <row r="2779" spans="1:2">
      <c r="A2779">
        <v>2778</v>
      </c>
      <c r="B2779" s="2">
        <v>298.0804200183228</v>
      </c>
    </row>
    <row r="2780" spans="1:2">
      <c r="A2780">
        <v>2779</v>
      </c>
      <c r="B2780" s="2">
        <v>244.49705241576561</v>
      </c>
    </row>
    <row r="2781" spans="1:2">
      <c r="A2781">
        <v>2780</v>
      </c>
      <c r="B2781" s="2">
        <v>265.36467788119501</v>
      </c>
    </row>
    <row r="2782" spans="1:2">
      <c r="A2782">
        <v>2781</v>
      </c>
      <c r="B2782" s="2">
        <v>486.46119884631065</v>
      </c>
    </row>
    <row r="2783" spans="1:2">
      <c r="A2783">
        <v>2782</v>
      </c>
      <c r="B2783" s="2">
        <v>264.96094500632148</v>
      </c>
    </row>
    <row r="2784" spans="1:2">
      <c r="A2784">
        <v>2783</v>
      </c>
      <c r="B2784" s="2">
        <v>311.43922181318226</v>
      </c>
    </row>
    <row r="2785" spans="1:2">
      <c r="A2785">
        <v>2784</v>
      </c>
      <c r="B2785" s="2">
        <v>400.5697038142618</v>
      </c>
    </row>
    <row r="2786" spans="1:2">
      <c r="A2786">
        <v>2785</v>
      </c>
      <c r="B2786" s="2">
        <v>216.21611449944538</v>
      </c>
    </row>
    <row r="2787" spans="1:2">
      <c r="A2787">
        <v>2786</v>
      </c>
      <c r="B2787" s="2">
        <v>401.44316367863564</v>
      </c>
    </row>
    <row r="2788" spans="1:2">
      <c r="A2788">
        <v>2787</v>
      </c>
      <c r="B2788" s="2">
        <v>455.59209955665813</v>
      </c>
    </row>
    <row r="2789" spans="1:2">
      <c r="A2789">
        <v>2788</v>
      </c>
      <c r="B2789" s="2">
        <v>294.5209469429214</v>
      </c>
    </row>
    <row r="2790" spans="1:2">
      <c r="A2790">
        <v>2789</v>
      </c>
      <c r="B2790" s="2">
        <v>356.57517741111303</v>
      </c>
    </row>
    <row r="2791" spans="1:2">
      <c r="A2791">
        <v>2790</v>
      </c>
      <c r="B2791" s="2">
        <v>337.31019082670645</v>
      </c>
    </row>
    <row r="2792" spans="1:2">
      <c r="A2792">
        <v>2791</v>
      </c>
      <c r="B2792" s="2">
        <v>301.82649567922778</v>
      </c>
    </row>
    <row r="2793" spans="1:2">
      <c r="A2793">
        <v>2792</v>
      </c>
      <c r="B2793" s="2">
        <v>422.05847360219127</v>
      </c>
    </row>
    <row r="2794" spans="1:2">
      <c r="A2794">
        <v>2793</v>
      </c>
      <c r="B2794" s="2">
        <v>366.32960112236731</v>
      </c>
    </row>
    <row r="2795" spans="1:2">
      <c r="A2795">
        <v>2794</v>
      </c>
      <c r="B2795" s="2">
        <v>347.69752557712172</v>
      </c>
    </row>
    <row r="2796" spans="1:2">
      <c r="A2796">
        <v>2795</v>
      </c>
      <c r="B2796" s="2">
        <v>327.73375913150915</v>
      </c>
    </row>
    <row r="2797" spans="1:2">
      <c r="A2797">
        <v>2796</v>
      </c>
      <c r="B2797" s="2">
        <v>261.33466102980367</v>
      </c>
    </row>
    <row r="2798" spans="1:2">
      <c r="A2798">
        <v>2797</v>
      </c>
      <c r="B2798" s="2">
        <v>408.34794231216893</v>
      </c>
    </row>
    <row r="2799" spans="1:2">
      <c r="A2799">
        <v>2798</v>
      </c>
      <c r="B2799" s="2">
        <v>290.12224443875982</v>
      </c>
    </row>
    <row r="2800" spans="1:2">
      <c r="A2800">
        <v>2799</v>
      </c>
      <c r="B2800" s="2">
        <v>376.42365959977684</v>
      </c>
    </row>
    <row r="2801" spans="1:2">
      <c r="A2801">
        <v>2800</v>
      </c>
      <c r="B2801" s="2">
        <v>287.00696611575836</v>
      </c>
    </row>
    <row r="2802" spans="1:2">
      <c r="A2802">
        <v>2801</v>
      </c>
      <c r="B2802" s="2">
        <v>397.24715887228336</v>
      </c>
    </row>
    <row r="2803" spans="1:2">
      <c r="A2803">
        <v>2802</v>
      </c>
      <c r="B2803" s="2">
        <v>207.03656869731824</v>
      </c>
    </row>
    <row r="2804" spans="1:2">
      <c r="A2804">
        <v>2803</v>
      </c>
      <c r="B2804" s="2">
        <v>303.09074641308683</v>
      </c>
    </row>
    <row r="2805" spans="1:2">
      <c r="A2805">
        <v>2804</v>
      </c>
      <c r="B2805" s="2">
        <v>378.50574241344253</v>
      </c>
    </row>
    <row r="2806" spans="1:2">
      <c r="A2806">
        <v>2805</v>
      </c>
      <c r="B2806" s="2">
        <v>280.88957488214146</v>
      </c>
    </row>
    <row r="2807" spans="1:2">
      <c r="A2807">
        <v>2806</v>
      </c>
      <c r="B2807" s="2">
        <v>424.21674912486901</v>
      </c>
    </row>
    <row r="2808" spans="1:2">
      <c r="A2808">
        <v>2807</v>
      </c>
      <c r="B2808" s="2">
        <v>346.21358674982332</v>
      </c>
    </row>
    <row r="2809" spans="1:2">
      <c r="A2809">
        <v>2808</v>
      </c>
      <c r="B2809" s="2">
        <v>281.34311375604068</v>
      </c>
    </row>
    <row r="2810" spans="1:2">
      <c r="A2810">
        <v>2809</v>
      </c>
      <c r="B2810" s="2">
        <v>427.91472763060051</v>
      </c>
    </row>
    <row r="2811" spans="1:2">
      <c r="A2811">
        <v>2810</v>
      </c>
      <c r="B2811" s="2">
        <v>375.40632907661802</v>
      </c>
    </row>
    <row r="2812" spans="1:2">
      <c r="A2812">
        <v>2811</v>
      </c>
      <c r="B2812" s="2">
        <v>313.27007436702513</v>
      </c>
    </row>
    <row r="2813" spans="1:2">
      <c r="A2813">
        <v>2812</v>
      </c>
      <c r="B2813" s="2">
        <v>398.34736369945603</v>
      </c>
    </row>
    <row r="2814" spans="1:2">
      <c r="A2814">
        <v>2813</v>
      </c>
      <c r="B2814" s="2">
        <v>350.23386823569376</v>
      </c>
    </row>
    <row r="2815" spans="1:2">
      <c r="A2815">
        <v>2814</v>
      </c>
      <c r="B2815" s="2">
        <v>380.60133003003807</v>
      </c>
    </row>
    <row r="2816" spans="1:2">
      <c r="A2816">
        <v>2815</v>
      </c>
      <c r="B2816" s="2">
        <v>312.18146272563831</v>
      </c>
    </row>
    <row r="2817" spans="1:2">
      <c r="A2817">
        <v>2816</v>
      </c>
      <c r="B2817" s="2">
        <v>313.41275812733198</v>
      </c>
    </row>
    <row r="2818" spans="1:2">
      <c r="A2818">
        <v>2817</v>
      </c>
      <c r="B2818" s="2">
        <v>299.46185352899516</v>
      </c>
    </row>
    <row r="2819" spans="1:2">
      <c r="A2819">
        <v>2818</v>
      </c>
      <c r="B2819" s="2">
        <v>338.86188723835193</v>
      </c>
    </row>
    <row r="2820" spans="1:2">
      <c r="A2820">
        <v>2819</v>
      </c>
      <c r="B2820" s="2">
        <v>328.15108278798266</v>
      </c>
    </row>
    <row r="2821" spans="1:2">
      <c r="A2821">
        <v>2820</v>
      </c>
      <c r="B2821" s="2">
        <v>386.63529186081036</v>
      </c>
    </row>
    <row r="2822" spans="1:2">
      <c r="A2822">
        <v>2821</v>
      </c>
      <c r="B2822" s="2">
        <v>478.63458333871796</v>
      </c>
    </row>
    <row r="2823" spans="1:2">
      <c r="A2823">
        <v>2822</v>
      </c>
      <c r="B2823" s="2">
        <v>270.10487582368512</v>
      </c>
    </row>
    <row r="2824" spans="1:2">
      <c r="A2824">
        <v>2823</v>
      </c>
      <c r="B2824" s="2">
        <v>220.28519560941569</v>
      </c>
    </row>
    <row r="2825" spans="1:2">
      <c r="A2825">
        <v>2824</v>
      </c>
      <c r="B2825" s="2">
        <v>532.04561649371806</v>
      </c>
    </row>
    <row r="2826" spans="1:2">
      <c r="A2826">
        <v>2825</v>
      </c>
      <c r="B2826" s="2">
        <v>331.54132412593594</v>
      </c>
    </row>
    <row r="2827" spans="1:2">
      <c r="A2827">
        <v>2826</v>
      </c>
      <c r="B2827" s="2">
        <v>313.78188057749605</v>
      </c>
    </row>
    <row r="2828" spans="1:2">
      <c r="A2828">
        <v>2827</v>
      </c>
      <c r="B2828" s="2">
        <v>373.92914064678649</v>
      </c>
    </row>
    <row r="2829" spans="1:2">
      <c r="A2829">
        <v>2828</v>
      </c>
      <c r="B2829" s="2">
        <v>351.56710565181135</v>
      </c>
    </row>
    <row r="2830" spans="1:2">
      <c r="A2830">
        <v>2829</v>
      </c>
      <c r="B2830" s="2">
        <v>304.44337240508708</v>
      </c>
    </row>
    <row r="2831" spans="1:2">
      <c r="A2831">
        <v>2830</v>
      </c>
      <c r="B2831" s="2">
        <v>292.28253052267172</v>
      </c>
    </row>
    <row r="2832" spans="1:2">
      <c r="A2832">
        <v>2831</v>
      </c>
      <c r="B2832" s="2">
        <v>338.14378210625961</v>
      </c>
    </row>
    <row r="2833" spans="1:2">
      <c r="A2833">
        <v>2832</v>
      </c>
      <c r="B2833" s="2">
        <v>350.43504631149057</v>
      </c>
    </row>
    <row r="2834" spans="1:2">
      <c r="A2834">
        <v>2833</v>
      </c>
      <c r="B2834" s="2">
        <v>423.98795211563674</v>
      </c>
    </row>
    <row r="2835" spans="1:2">
      <c r="A2835">
        <v>2834</v>
      </c>
      <c r="B2835" s="2">
        <v>420.55487969131877</v>
      </c>
    </row>
    <row r="2836" spans="1:2">
      <c r="A2836">
        <v>2835</v>
      </c>
      <c r="B2836" s="2">
        <v>252.32506976335802</v>
      </c>
    </row>
    <row r="2837" spans="1:2">
      <c r="A2837">
        <v>2836</v>
      </c>
      <c r="B2837" s="2">
        <v>106.90264377025369</v>
      </c>
    </row>
    <row r="2838" spans="1:2">
      <c r="A2838">
        <v>2837</v>
      </c>
      <c r="B2838" s="2">
        <v>404.54311237612359</v>
      </c>
    </row>
    <row r="2839" spans="1:2">
      <c r="A2839">
        <v>2838</v>
      </c>
      <c r="B2839" s="2">
        <v>357.93536436939098</v>
      </c>
    </row>
    <row r="2840" spans="1:2">
      <c r="A2840">
        <v>2839</v>
      </c>
      <c r="B2840" s="2">
        <v>223.5950318175345</v>
      </c>
    </row>
    <row r="2841" spans="1:2">
      <c r="A2841">
        <v>2840</v>
      </c>
      <c r="B2841" s="2">
        <v>356.03839943272374</v>
      </c>
    </row>
    <row r="2842" spans="1:2">
      <c r="A2842">
        <v>2841</v>
      </c>
      <c r="B2842" s="2">
        <v>373.63695484426387</v>
      </c>
    </row>
    <row r="2843" spans="1:2">
      <c r="A2843">
        <v>2842</v>
      </c>
      <c r="B2843" s="2">
        <v>439.8582087315848</v>
      </c>
    </row>
    <row r="2844" spans="1:2">
      <c r="A2844">
        <v>2843</v>
      </c>
      <c r="B2844" s="2">
        <v>370.75648903795297</v>
      </c>
    </row>
    <row r="2845" spans="1:2">
      <c r="A2845">
        <v>2844</v>
      </c>
      <c r="B2845" s="2">
        <v>427.9292180998977</v>
      </c>
    </row>
    <row r="2846" spans="1:2">
      <c r="A2846">
        <v>2845</v>
      </c>
      <c r="B2846" s="2">
        <v>357.51750641524075</v>
      </c>
    </row>
    <row r="2847" spans="1:2">
      <c r="A2847">
        <v>2846</v>
      </c>
      <c r="B2847" s="2">
        <v>422.63105956205254</v>
      </c>
    </row>
    <row r="2848" spans="1:2">
      <c r="A2848">
        <v>2847</v>
      </c>
      <c r="B2848" s="2">
        <v>394.03579057794201</v>
      </c>
    </row>
    <row r="2849" spans="1:2">
      <c r="A2849">
        <v>2848</v>
      </c>
      <c r="B2849" s="2">
        <v>310.34669571149811</v>
      </c>
    </row>
    <row r="2850" spans="1:2">
      <c r="A2850">
        <v>2849</v>
      </c>
      <c r="B2850" s="2">
        <v>264.67911466464386</v>
      </c>
    </row>
    <row r="2851" spans="1:2">
      <c r="A2851">
        <v>2850</v>
      </c>
      <c r="B2851" s="2">
        <v>297.259650968399</v>
      </c>
    </row>
    <row r="2852" spans="1:2">
      <c r="A2852">
        <v>2851</v>
      </c>
      <c r="B2852" s="2">
        <v>275.22329856085184</v>
      </c>
    </row>
    <row r="2853" spans="1:2">
      <c r="A2853">
        <v>2852</v>
      </c>
      <c r="B2853" s="2">
        <v>281.75455558384556</v>
      </c>
    </row>
    <row r="2854" spans="1:2">
      <c r="A2854">
        <v>2853</v>
      </c>
      <c r="B2854" s="2">
        <v>397.02920983376316</v>
      </c>
    </row>
    <row r="2855" spans="1:2">
      <c r="A2855">
        <v>2854</v>
      </c>
      <c r="B2855" s="2">
        <v>444.05447533856261</v>
      </c>
    </row>
    <row r="2856" spans="1:2">
      <c r="A2856">
        <v>2855</v>
      </c>
      <c r="B2856" s="2">
        <v>408.41369082761628</v>
      </c>
    </row>
    <row r="2857" spans="1:2">
      <c r="A2857">
        <v>2856</v>
      </c>
      <c r="B2857" s="2">
        <v>345.59650076255832</v>
      </c>
    </row>
    <row r="2858" spans="1:2">
      <c r="A2858">
        <v>2857</v>
      </c>
      <c r="B2858" s="2">
        <v>297.87605765641911</v>
      </c>
    </row>
    <row r="2859" spans="1:2">
      <c r="A2859">
        <v>2858</v>
      </c>
      <c r="B2859" s="2">
        <v>193.6205117275984</v>
      </c>
    </row>
    <row r="2860" spans="1:2">
      <c r="A2860">
        <v>2859</v>
      </c>
      <c r="B2860" s="2">
        <v>339.14864745203352</v>
      </c>
    </row>
    <row r="2861" spans="1:2">
      <c r="A2861">
        <v>2860</v>
      </c>
      <c r="B2861" s="2">
        <v>331.34364386959561</v>
      </c>
    </row>
    <row r="2862" spans="1:2">
      <c r="A2862">
        <v>2861</v>
      </c>
      <c r="B2862" s="2">
        <v>356.2584529641822</v>
      </c>
    </row>
    <row r="2863" spans="1:2">
      <c r="A2863">
        <v>2862</v>
      </c>
      <c r="B2863" s="2">
        <v>294.92757578488789</v>
      </c>
    </row>
    <row r="2864" spans="1:2">
      <c r="A2864">
        <v>2863</v>
      </c>
      <c r="B2864" s="2">
        <v>342.91069728114246</v>
      </c>
    </row>
    <row r="2865" spans="1:2">
      <c r="A2865">
        <v>2864</v>
      </c>
      <c r="B2865" s="2">
        <v>252.96464026043066</v>
      </c>
    </row>
    <row r="2866" spans="1:2">
      <c r="A2866">
        <v>2865</v>
      </c>
      <c r="B2866" s="2">
        <v>262.37164727302741</v>
      </c>
    </row>
    <row r="2867" spans="1:2">
      <c r="A2867">
        <v>2866</v>
      </c>
      <c r="B2867" s="2">
        <v>451.61340901218261</v>
      </c>
    </row>
    <row r="2868" spans="1:2">
      <c r="A2868">
        <v>2867</v>
      </c>
      <c r="B2868" s="2">
        <v>368.88115592350891</v>
      </c>
    </row>
    <row r="2869" spans="1:2">
      <c r="A2869">
        <v>2868</v>
      </c>
      <c r="B2869" s="2">
        <v>413.70927419349175</v>
      </c>
    </row>
    <row r="2870" spans="1:2">
      <c r="A2870">
        <v>2869</v>
      </c>
      <c r="B2870" s="2">
        <v>355.96704065001063</v>
      </c>
    </row>
    <row r="2871" spans="1:2">
      <c r="A2871">
        <v>2870</v>
      </c>
      <c r="B2871" s="2">
        <v>331.01617314338966</v>
      </c>
    </row>
    <row r="2872" spans="1:2">
      <c r="A2872">
        <v>2871</v>
      </c>
      <c r="B2872" s="2">
        <v>420.03535297116775</v>
      </c>
    </row>
    <row r="2873" spans="1:2">
      <c r="A2873">
        <v>2872</v>
      </c>
      <c r="B2873" s="2">
        <v>238.90509263384087</v>
      </c>
    </row>
    <row r="2874" spans="1:2">
      <c r="A2874">
        <v>2873</v>
      </c>
      <c r="B2874" s="2">
        <v>564.63797745521333</v>
      </c>
    </row>
    <row r="2875" spans="1:2">
      <c r="A2875">
        <v>2874</v>
      </c>
      <c r="B2875" s="2">
        <v>401.5646180770417</v>
      </c>
    </row>
    <row r="2876" spans="1:2">
      <c r="A2876">
        <v>2875</v>
      </c>
      <c r="B2876" s="2">
        <v>324.90253691827888</v>
      </c>
    </row>
    <row r="2877" spans="1:2">
      <c r="A2877">
        <v>2876</v>
      </c>
      <c r="B2877" s="2">
        <v>326.52503258847912</v>
      </c>
    </row>
    <row r="2878" spans="1:2">
      <c r="A2878">
        <v>2877</v>
      </c>
      <c r="B2878" s="2">
        <v>314.65755221561915</v>
      </c>
    </row>
    <row r="2879" spans="1:2">
      <c r="A2879">
        <v>2878</v>
      </c>
      <c r="B2879" s="2">
        <v>406.4699485407566</v>
      </c>
    </row>
    <row r="2880" spans="1:2">
      <c r="A2880">
        <v>2879</v>
      </c>
      <c r="B2880" s="2">
        <v>277.05230305516318</v>
      </c>
    </row>
    <row r="2881" spans="1:2">
      <c r="A2881">
        <v>2880</v>
      </c>
      <c r="B2881" s="2">
        <v>455.12783908811571</v>
      </c>
    </row>
    <row r="2882" spans="1:2">
      <c r="A2882">
        <v>2881</v>
      </c>
      <c r="B2882" s="2">
        <v>403.8169854104778</v>
      </c>
    </row>
    <row r="2883" spans="1:2">
      <c r="A2883">
        <v>2882</v>
      </c>
      <c r="B2883" s="2">
        <v>324.09244902115421</v>
      </c>
    </row>
    <row r="2884" spans="1:2">
      <c r="A2884">
        <v>2883</v>
      </c>
      <c r="B2884" s="2">
        <v>337.28956797710691</v>
      </c>
    </row>
    <row r="2885" spans="1:2">
      <c r="A2885">
        <v>2884</v>
      </c>
      <c r="B2885" s="2">
        <v>183.76837346047742</v>
      </c>
    </row>
    <row r="2886" spans="1:2">
      <c r="A2886">
        <v>2885</v>
      </c>
      <c r="B2886" s="2">
        <v>295.02723803195852</v>
      </c>
    </row>
    <row r="2887" spans="1:2">
      <c r="A2887">
        <v>2886</v>
      </c>
      <c r="B2887" s="2">
        <v>557.25699431201701</v>
      </c>
    </row>
    <row r="2888" spans="1:2">
      <c r="A2888">
        <v>2887</v>
      </c>
      <c r="B2888" s="2">
        <v>379.71577466154343</v>
      </c>
    </row>
    <row r="2889" spans="1:2">
      <c r="A2889">
        <v>2888</v>
      </c>
      <c r="B2889" s="2">
        <v>503.86920182882488</v>
      </c>
    </row>
    <row r="2890" spans="1:2">
      <c r="A2890">
        <v>2889</v>
      </c>
      <c r="B2890" s="2">
        <v>299.74492400698011</v>
      </c>
    </row>
    <row r="2891" spans="1:2">
      <c r="A2891">
        <v>2890</v>
      </c>
      <c r="B2891" s="2">
        <v>225.31119158210413</v>
      </c>
    </row>
    <row r="2892" spans="1:2">
      <c r="A2892">
        <v>2891</v>
      </c>
      <c r="B2892" s="2">
        <v>309.53641052751914</v>
      </c>
    </row>
    <row r="2893" spans="1:2">
      <c r="A2893">
        <v>2892</v>
      </c>
      <c r="B2893" s="2">
        <v>485.99103434343147</v>
      </c>
    </row>
    <row r="2894" spans="1:2">
      <c r="A2894">
        <v>2893</v>
      </c>
      <c r="B2894" s="2">
        <v>353.16774287518882</v>
      </c>
    </row>
    <row r="2895" spans="1:2">
      <c r="A2895">
        <v>2894</v>
      </c>
      <c r="B2895" s="2">
        <v>388.86164952722174</v>
      </c>
    </row>
    <row r="2896" spans="1:2">
      <c r="A2896">
        <v>2895</v>
      </c>
      <c r="B2896" s="2">
        <v>486.81185896039494</v>
      </c>
    </row>
    <row r="2897" spans="1:2">
      <c r="A2897">
        <v>2896</v>
      </c>
      <c r="B2897" s="2">
        <v>315.95973968222671</v>
      </c>
    </row>
    <row r="2898" spans="1:2">
      <c r="A2898">
        <v>2897</v>
      </c>
      <c r="B2898" s="2">
        <v>410.00801320856363</v>
      </c>
    </row>
    <row r="2899" spans="1:2">
      <c r="A2899">
        <v>2898</v>
      </c>
      <c r="B2899" s="2">
        <v>311.63314257904972</v>
      </c>
    </row>
    <row r="2900" spans="1:2">
      <c r="A2900">
        <v>2899</v>
      </c>
      <c r="B2900" s="2">
        <v>216.40699194672575</v>
      </c>
    </row>
    <row r="2901" spans="1:2">
      <c r="A2901">
        <v>2900</v>
      </c>
      <c r="B2901" s="2">
        <v>523.19448964402909</v>
      </c>
    </row>
    <row r="2902" spans="1:2">
      <c r="A2902">
        <v>2901</v>
      </c>
      <c r="B2902" s="2">
        <v>474.84740711875071</v>
      </c>
    </row>
    <row r="2903" spans="1:2">
      <c r="A2903">
        <v>2902</v>
      </c>
      <c r="B2903" s="2">
        <v>354.59080015072283</v>
      </c>
    </row>
    <row r="2904" spans="1:2">
      <c r="A2904">
        <v>2903</v>
      </c>
      <c r="B2904" s="2">
        <v>254.37911359630377</v>
      </c>
    </row>
    <row r="2905" spans="1:2">
      <c r="A2905">
        <v>2904</v>
      </c>
      <c r="B2905" s="2">
        <v>382.53644718456519</v>
      </c>
    </row>
    <row r="2906" spans="1:2">
      <c r="A2906">
        <v>2905</v>
      </c>
      <c r="B2906" s="2">
        <v>231.97548126661073</v>
      </c>
    </row>
    <row r="2907" spans="1:2">
      <c r="A2907">
        <v>2906</v>
      </c>
      <c r="B2907" s="2">
        <v>368.65866473535681</v>
      </c>
    </row>
    <row r="2908" spans="1:2">
      <c r="A2908">
        <v>2907</v>
      </c>
      <c r="B2908" s="2">
        <v>349.39165860755833</v>
      </c>
    </row>
    <row r="2909" spans="1:2">
      <c r="A2909">
        <v>2908</v>
      </c>
      <c r="B2909" s="2">
        <v>341.3045065338286</v>
      </c>
    </row>
    <row r="2910" spans="1:2">
      <c r="A2910">
        <v>2909</v>
      </c>
      <c r="B2910" s="2">
        <v>396.63067757936312</v>
      </c>
    </row>
    <row r="2911" spans="1:2">
      <c r="A2911">
        <v>2910</v>
      </c>
      <c r="B2911" s="2">
        <v>393.5031391888557</v>
      </c>
    </row>
    <row r="2912" spans="1:2">
      <c r="A2912">
        <v>2911</v>
      </c>
      <c r="B2912" s="2">
        <v>299.43644106932356</v>
      </c>
    </row>
    <row r="2913" spans="1:2">
      <c r="A2913">
        <v>2912</v>
      </c>
      <c r="B2913" s="2">
        <v>330.17348509208063</v>
      </c>
    </row>
    <row r="2914" spans="1:2">
      <c r="A2914">
        <v>2913</v>
      </c>
      <c r="B2914" s="2">
        <v>396.82168235630411</v>
      </c>
    </row>
    <row r="2915" spans="1:2">
      <c r="A2915">
        <v>2914</v>
      </c>
      <c r="B2915" s="2">
        <v>402.61651513819618</v>
      </c>
    </row>
    <row r="2916" spans="1:2">
      <c r="A2916">
        <v>2915</v>
      </c>
      <c r="B2916" s="2">
        <v>512.33966589350587</v>
      </c>
    </row>
    <row r="2917" spans="1:2">
      <c r="A2917">
        <v>2916</v>
      </c>
      <c r="B2917" s="2">
        <v>427.3970434235527</v>
      </c>
    </row>
    <row r="2918" spans="1:2">
      <c r="A2918">
        <v>2917</v>
      </c>
      <c r="B2918" s="2">
        <v>319.71276117847788</v>
      </c>
    </row>
    <row r="2919" spans="1:2">
      <c r="A2919">
        <v>2918</v>
      </c>
      <c r="B2919" s="2">
        <v>253.27272732235693</v>
      </c>
    </row>
    <row r="2920" spans="1:2">
      <c r="A2920">
        <v>2919</v>
      </c>
      <c r="B2920" s="2">
        <v>453.69406380617477</v>
      </c>
    </row>
    <row r="2921" spans="1:2">
      <c r="A2921">
        <v>2920</v>
      </c>
      <c r="B2921" s="2">
        <v>429.26285673517975</v>
      </c>
    </row>
    <row r="2922" spans="1:2">
      <c r="A2922">
        <v>2921</v>
      </c>
      <c r="B2922" s="2">
        <v>395.47675183130099</v>
      </c>
    </row>
    <row r="2923" spans="1:2">
      <c r="A2923">
        <v>2922</v>
      </c>
      <c r="B2923" s="2">
        <v>353.5327080409304</v>
      </c>
    </row>
    <row r="2924" spans="1:2">
      <c r="A2924">
        <v>2923</v>
      </c>
      <c r="B2924" s="2">
        <v>310.8580651137969</v>
      </c>
    </row>
    <row r="2925" spans="1:2">
      <c r="A2925">
        <v>2924</v>
      </c>
      <c r="B2925" s="2">
        <v>285.26839683630448</v>
      </c>
    </row>
    <row r="2926" spans="1:2">
      <c r="A2926">
        <v>2925</v>
      </c>
      <c r="B2926" s="2">
        <v>281.43644256725571</v>
      </c>
    </row>
    <row r="2927" spans="1:2">
      <c r="A2927">
        <v>2926</v>
      </c>
      <c r="B2927" s="2">
        <v>365.38012297173623</v>
      </c>
    </row>
    <row r="2928" spans="1:2">
      <c r="A2928">
        <v>2927</v>
      </c>
      <c r="B2928" s="2">
        <v>603.79813657797274</v>
      </c>
    </row>
    <row r="2929" spans="1:2">
      <c r="A2929">
        <v>2928</v>
      </c>
      <c r="B2929" s="2">
        <v>270.35827418331962</v>
      </c>
    </row>
    <row r="2930" spans="1:2">
      <c r="A2930">
        <v>2929</v>
      </c>
      <c r="B2930" s="2">
        <v>475.44206577652488</v>
      </c>
    </row>
    <row r="2931" spans="1:2">
      <c r="A2931">
        <v>2930</v>
      </c>
      <c r="B2931" s="2">
        <v>444.68823117610782</v>
      </c>
    </row>
    <row r="2932" spans="1:2">
      <c r="A2932">
        <v>2931</v>
      </c>
      <c r="B2932" s="2">
        <v>357.99334773427512</v>
      </c>
    </row>
    <row r="2933" spans="1:2">
      <c r="A2933">
        <v>2932</v>
      </c>
      <c r="B2933" s="2">
        <v>434.04098265522958</v>
      </c>
    </row>
    <row r="2934" spans="1:2">
      <c r="A2934">
        <v>2933</v>
      </c>
      <c r="B2934" s="2">
        <v>417.06665903650043</v>
      </c>
    </row>
    <row r="2935" spans="1:2">
      <c r="A2935">
        <v>2934</v>
      </c>
      <c r="B2935" s="2">
        <v>244.97758609669671</v>
      </c>
    </row>
    <row r="2936" spans="1:2">
      <c r="A2936">
        <v>2935</v>
      </c>
      <c r="B2936" s="2">
        <v>376.2890182333411</v>
      </c>
    </row>
    <row r="2937" spans="1:2">
      <c r="A2937">
        <v>2936</v>
      </c>
      <c r="B2937" s="2">
        <v>493.19133655976447</v>
      </c>
    </row>
    <row r="2938" spans="1:2">
      <c r="A2938">
        <v>2937</v>
      </c>
      <c r="B2938" s="2">
        <v>339.08195941385759</v>
      </c>
    </row>
    <row r="2939" spans="1:2">
      <c r="A2939">
        <v>2938</v>
      </c>
      <c r="B2939" s="2">
        <v>311.37683532370249</v>
      </c>
    </row>
    <row r="2940" spans="1:2">
      <c r="A2940">
        <v>2939</v>
      </c>
      <c r="B2940" s="2">
        <v>385.81242752060854</v>
      </c>
    </row>
    <row r="2941" spans="1:2">
      <c r="A2941">
        <v>2940</v>
      </c>
      <c r="B2941" s="2">
        <v>238.03553146523416</v>
      </c>
    </row>
    <row r="2942" spans="1:2">
      <c r="A2942">
        <v>2941</v>
      </c>
      <c r="B2942" s="2">
        <v>350.47475007274699</v>
      </c>
    </row>
    <row r="2943" spans="1:2">
      <c r="A2943">
        <v>2942</v>
      </c>
      <c r="B2943" s="2">
        <v>359.79048713439278</v>
      </c>
    </row>
    <row r="2944" spans="1:2">
      <c r="A2944">
        <v>2943</v>
      </c>
      <c r="B2944" s="2">
        <v>355.43834744793742</v>
      </c>
    </row>
    <row r="2945" spans="1:2">
      <c r="A2945">
        <v>2944</v>
      </c>
      <c r="B2945" s="2">
        <v>514.56084039440589</v>
      </c>
    </row>
    <row r="2946" spans="1:2">
      <c r="A2946">
        <v>2945</v>
      </c>
      <c r="B2946" s="2">
        <v>279.96643160627303</v>
      </c>
    </row>
    <row r="2947" spans="1:2">
      <c r="A2947">
        <v>2946</v>
      </c>
      <c r="B2947" s="2">
        <v>325.11333101502015</v>
      </c>
    </row>
    <row r="2948" spans="1:2">
      <c r="A2948">
        <v>2947</v>
      </c>
      <c r="B2948" s="2">
        <v>394.37631473348972</v>
      </c>
    </row>
    <row r="2949" spans="1:2">
      <c r="A2949">
        <v>2948</v>
      </c>
      <c r="B2949" s="2">
        <v>290.13164693967525</v>
      </c>
    </row>
    <row r="2950" spans="1:2">
      <c r="A2950">
        <v>2949</v>
      </c>
      <c r="B2950" s="2">
        <v>447.01410456637598</v>
      </c>
    </row>
    <row r="2951" spans="1:2">
      <c r="A2951">
        <v>2950</v>
      </c>
      <c r="B2951" s="2">
        <v>473.42748191013209</v>
      </c>
    </row>
    <row r="2952" spans="1:2">
      <c r="A2952">
        <v>2951</v>
      </c>
      <c r="B2952" s="2">
        <v>334.70939610476194</v>
      </c>
    </row>
    <row r="2953" spans="1:2">
      <c r="A2953">
        <v>2952</v>
      </c>
      <c r="B2953" s="2">
        <v>294.77146623991894</v>
      </c>
    </row>
    <row r="2954" spans="1:2">
      <c r="A2954">
        <v>2953</v>
      </c>
      <c r="B2954" s="2">
        <v>195.44860142055342</v>
      </c>
    </row>
    <row r="2955" spans="1:2">
      <c r="A2955">
        <v>2954</v>
      </c>
      <c r="B2955" s="2">
        <v>260.82516936724613</v>
      </c>
    </row>
    <row r="2956" spans="1:2">
      <c r="A2956">
        <v>2955</v>
      </c>
      <c r="B2956" s="2">
        <v>319.9231028587327</v>
      </c>
    </row>
    <row r="2957" spans="1:2">
      <c r="A2957">
        <v>2956</v>
      </c>
      <c r="B2957" s="2">
        <v>308.10340946890506</v>
      </c>
    </row>
    <row r="2958" spans="1:2">
      <c r="A2958">
        <v>2957</v>
      </c>
      <c r="B2958" s="2">
        <v>328.48636168631151</v>
      </c>
    </row>
    <row r="2959" spans="1:2">
      <c r="A2959">
        <v>2958</v>
      </c>
      <c r="B2959" s="2">
        <v>272.70923698564911</v>
      </c>
    </row>
    <row r="2960" spans="1:2">
      <c r="A2960">
        <v>2959</v>
      </c>
      <c r="B2960" s="2">
        <v>310.28208151138858</v>
      </c>
    </row>
    <row r="2961" spans="1:2">
      <c r="A2961">
        <v>2960</v>
      </c>
      <c r="B2961" s="2">
        <v>287.25707612238841</v>
      </c>
    </row>
    <row r="2962" spans="1:2">
      <c r="A2962">
        <v>2961</v>
      </c>
      <c r="B2962" s="2">
        <v>345.65083533146299</v>
      </c>
    </row>
    <row r="2963" spans="1:2">
      <c r="A2963">
        <v>2962</v>
      </c>
      <c r="B2963" s="2">
        <v>435.85731704100772</v>
      </c>
    </row>
    <row r="2964" spans="1:2">
      <c r="A2964">
        <v>2963</v>
      </c>
      <c r="B2964" s="2">
        <v>290.90424817923355</v>
      </c>
    </row>
    <row r="2965" spans="1:2">
      <c r="A2965">
        <v>2964</v>
      </c>
      <c r="B2965" s="2">
        <v>436.41240821319963</v>
      </c>
    </row>
    <row r="2966" spans="1:2">
      <c r="A2966">
        <v>2965</v>
      </c>
      <c r="B2966" s="2">
        <v>481.97155412884996</v>
      </c>
    </row>
    <row r="2967" spans="1:2">
      <c r="A2967">
        <v>2966</v>
      </c>
      <c r="B2967" s="2">
        <v>362.0389788696499</v>
      </c>
    </row>
    <row r="2968" spans="1:2">
      <c r="A2968">
        <v>2967</v>
      </c>
      <c r="B2968" s="2">
        <v>279.24404195861143</v>
      </c>
    </row>
    <row r="2969" spans="1:2">
      <c r="A2969">
        <v>2968</v>
      </c>
      <c r="B2969" s="2">
        <v>314.95269375892929</v>
      </c>
    </row>
    <row r="2970" spans="1:2">
      <c r="A2970">
        <v>2969</v>
      </c>
      <c r="B2970" s="2">
        <v>284.02078414488551</v>
      </c>
    </row>
    <row r="2971" spans="1:2">
      <c r="A2971">
        <v>2970</v>
      </c>
      <c r="B2971" s="2">
        <v>395.17252860104816</v>
      </c>
    </row>
    <row r="2972" spans="1:2">
      <c r="A2972">
        <v>2971</v>
      </c>
      <c r="B2972" s="2">
        <v>308.66931203006175</v>
      </c>
    </row>
    <row r="2973" spans="1:2">
      <c r="A2973">
        <v>2972</v>
      </c>
      <c r="B2973" s="2">
        <v>257.40767413711825</v>
      </c>
    </row>
    <row r="2974" spans="1:2">
      <c r="A2974">
        <v>2973</v>
      </c>
      <c r="B2974" s="2">
        <v>495.72085512314482</v>
      </c>
    </row>
    <row r="2975" spans="1:2">
      <c r="A2975">
        <v>2974</v>
      </c>
      <c r="B2975" s="2">
        <v>415.43475627760915</v>
      </c>
    </row>
    <row r="2976" spans="1:2">
      <c r="A2976">
        <v>2975</v>
      </c>
      <c r="B2976" s="2">
        <v>550.73705716050074</v>
      </c>
    </row>
    <row r="2977" spans="1:2">
      <c r="A2977">
        <v>2976</v>
      </c>
      <c r="B2977" s="2">
        <v>410.76581368481698</v>
      </c>
    </row>
    <row r="2978" spans="1:2">
      <c r="A2978">
        <v>2977</v>
      </c>
      <c r="B2978" s="2">
        <v>433.34204602114346</v>
      </c>
    </row>
    <row r="2979" spans="1:2">
      <c r="A2979">
        <v>2978</v>
      </c>
      <c r="B2979" s="2">
        <v>351.96429798268485</v>
      </c>
    </row>
    <row r="2980" spans="1:2">
      <c r="A2980">
        <v>2979</v>
      </c>
      <c r="B2980" s="2">
        <v>380.31221387689936</v>
      </c>
    </row>
    <row r="2981" spans="1:2">
      <c r="A2981">
        <v>2980</v>
      </c>
      <c r="B2981" s="2">
        <v>249.43631683049423</v>
      </c>
    </row>
    <row r="2982" spans="1:2">
      <c r="A2982">
        <v>2981</v>
      </c>
      <c r="B2982" s="2">
        <v>366.57649769130336</v>
      </c>
    </row>
    <row r="2983" spans="1:2">
      <c r="A2983">
        <v>2982</v>
      </c>
      <c r="B2983" s="2">
        <v>343.81045069457446</v>
      </c>
    </row>
    <row r="2984" spans="1:2">
      <c r="A2984">
        <v>2983</v>
      </c>
      <c r="B2984" s="2">
        <v>239.93596179918737</v>
      </c>
    </row>
    <row r="2985" spans="1:2">
      <c r="A2985">
        <v>2984</v>
      </c>
      <c r="B2985" s="2">
        <v>441.87873321933262</v>
      </c>
    </row>
    <row r="2986" spans="1:2">
      <c r="A2986">
        <v>2985</v>
      </c>
      <c r="B2986" s="2">
        <v>316.99592176987585</v>
      </c>
    </row>
    <row r="2987" spans="1:2">
      <c r="A2987">
        <v>2986</v>
      </c>
      <c r="B2987" s="2">
        <v>225.61609355049987</v>
      </c>
    </row>
    <row r="2988" spans="1:2">
      <c r="A2988">
        <v>2987</v>
      </c>
      <c r="B2988" s="2">
        <v>290.19378881741602</v>
      </c>
    </row>
    <row r="2989" spans="1:2">
      <c r="A2989">
        <v>2988</v>
      </c>
      <c r="B2989" s="2">
        <v>182.05323792400529</v>
      </c>
    </row>
    <row r="2990" spans="1:2">
      <c r="A2990">
        <v>2989</v>
      </c>
      <c r="B2990" s="2">
        <v>249.47218818202637</v>
      </c>
    </row>
    <row r="2991" spans="1:2">
      <c r="A2991">
        <v>2990</v>
      </c>
      <c r="B2991" s="2">
        <v>451.79094661878366</v>
      </c>
    </row>
    <row r="2992" spans="1:2">
      <c r="A2992">
        <v>2991</v>
      </c>
      <c r="B2992" s="2">
        <v>325.11289681919015</v>
      </c>
    </row>
    <row r="2993" spans="1:2">
      <c r="A2993">
        <v>2992</v>
      </c>
      <c r="B2993" s="2">
        <v>347.51890923627565</v>
      </c>
    </row>
    <row r="2994" spans="1:2">
      <c r="A2994">
        <v>2993</v>
      </c>
      <c r="B2994" s="2">
        <v>377.21103975697827</v>
      </c>
    </row>
    <row r="2995" spans="1:2">
      <c r="A2995">
        <v>2994</v>
      </c>
      <c r="B2995" s="2">
        <v>288.31226724729993</v>
      </c>
    </row>
    <row r="2996" spans="1:2">
      <c r="A2996">
        <v>2995</v>
      </c>
      <c r="B2996" s="2">
        <v>239.86517448050614</v>
      </c>
    </row>
    <row r="2997" spans="1:2">
      <c r="A2997">
        <v>2996</v>
      </c>
      <c r="B2997" s="2">
        <v>326.66843122644445</v>
      </c>
    </row>
    <row r="2998" spans="1:2">
      <c r="A2998">
        <v>2997</v>
      </c>
      <c r="B2998" s="2">
        <v>319.37283660766639</v>
      </c>
    </row>
    <row r="2999" spans="1:2">
      <c r="A2999">
        <v>2998</v>
      </c>
      <c r="B2999" s="2">
        <v>230.87017481139401</v>
      </c>
    </row>
    <row r="3000" spans="1:2">
      <c r="A3000">
        <v>2999</v>
      </c>
      <c r="B3000" s="2">
        <v>275.5484981486353</v>
      </c>
    </row>
    <row r="3001" spans="1:2">
      <c r="A3001">
        <v>3000</v>
      </c>
      <c r="B3001" s="2">
        <v>227.5960767376113</v>
      </c>
    </row>
    <row r="3002" spans="1:2">
      <c r="A3002">
        <v>3001</v>
      </c>
      <c r="B3002" s="2">
        <v>312.79024630003391</v>
      </c>
    </row>
    <row r="3003" spans="1:2">
      <c r="A3003">
        <v>3002</v>
      </c>
      <c r="B3003" s="2">
        <v>459.10590745341017</v>
      </c>
    </row>
    <row r="3004" spans="1:2">
      <c r="A3004">
        <v>3003</v>
      </c>
      <c r="B3004" s="2">
        <v>359.30652932372431</v>
      </c>
    </row>
    <row r="3005" spans="1:2">
      <c r="A3005">
        <v>3004</v>
      </c>
      <c r="B3005" s="2">
        <v>296.42881268668214</v>
      </c>
    </row>
    <row r="3006" spans="1:2">
      <c r="A3006">
        <v>3005</v>
      </c>
      <c r="B3006" s="2">
        <v>249.63419320347901</v>
      </c>
    </row>
    <row r="3007" spans="1:2">
      <c r="A3007">
        <v>3006</v>
      </c>
      <c r="B3007" s="2">
        <v>192.64486882886405</v>
      </c>
    </row>
    <row r="3008" spans="1:2">
      <c r="A3008">
        <v>3007</v>
      </c>
      <c r="B3008" s="2">
        <v>352.8475032340429</v>
      </c>
    </row>
    <row r="3009" spans="1:2">
      <c r="A3009">
        <v>3008</v>
      </c>
      <c r="B3009" s="2">
        <v>237.2507786391248</v>
      </c>
    </row>
    <row r="3010" spans="1:2">
      <c r="A3010">
        <v>3009</v>
      </c>
      <c r="B3010" s="2">
        <v>355.04973872742789</v>
      </c>
    </row>
    <row r="3011" spans="1:2">
      <c r="A3011">
        <v>3010</v>
      </c>
      <c r="B3011" s="2">
        <v>372.72921044109944</v>
      </c>
    </row>
    <row r="3012" spans="1:2">
      <c r="A3012">
        <v>3011</v>
      </c>
      <c r="B3012" s="2">
        <v>438.70076154061678</v>
      </c>
    </row>
    <row r="3013" spans="1:2">
      <c r="A3013">
        <v>3012</v>
      </c>
      <c r="B3013" s="2">
        <v>322.38684492083229</v>
      </c>
    </row>
    <row r="3014" spans="1:2">
      <c r="A3014">
        <v>3013</v>
      </c>
      <c r="B3014" s="2">
        <v>350.65324818555854</v>
      </c>
    </row>
    <row r="3015" spans="1:2">
      <c r="A3015">
        <v>3014</v>
      </c>
      <c r="B3015" s="2">
        <v>425.95012861872067</v>
      </c>
    </row>
    <row r="3016" spans="1:2">
      <c r="A3016">
        <v>3015</v>
      </c>
      <c r="B3016" s="2">
        <v>345.81689432494699</v>
      </c>
    </row>
    <row r="3017" spans="1:2">
      <c r="A3017">
        <v>3016</v>
      </c>
      <c r="B3017" s="2">
        <v>390.07731154668187</v>
      </c>
    </row>
    <row r="3018" spans="1:2">
      <c r="A3018">
        <v>3017</v>
      </c>
      <c r="B3018" s="2">
        <v>343.5890011671853</v>
      </c>
    </row>
    <row r="3019" spans="1:2">
      <c r="A3019">
        <v>3018</v>
      </c>
      <c r="B3019" s="2">
        <v>314.69114887036687</v>
      </c>
    </row>
    <row r="3020" spans="1:2">
      <c r="A3020">
        <v>3019</v>
      </c>
      <c r="B3020" s="2">
        <v>356.89669377220196</v>
      </c>
    </row>
    <row r="3021" spans="1:2">
      <c r="A3021">
        <v>3020</v>
      </c>
      <c r="B3021" s="2">
        <v>296.41566254006943</v>
      </c>
    </row>
    <row r="3022" spans="1:2">
      <c r="A3022">
        <v>3021</v>
      </c>
      <c r="B3022" s="2">
        <v>106.11393550643783</v>
      </c>
    </row>
    <row r="3023" spans="1:2">
      <c r="A3023">
        <v>3022</v>
      </c>
      <c r="B3023" s="2">
        <v>495.36560790077203</v>
      </c>
    </row>
    <row r="3024" spans="1:2">
      <c r="A3024">
        <v>3023</v>
      </c>
      <c r="B3024" s="2">
        <v>151.81351577392587</v>
      </c>
    </row>
    <row r="3025" spans="1:2">
      <c r="A3025">
        <v>3024</v>
      </c>
      <c r="B3025" s="2">
        <v>404.66166204541264</v>
      </c>
    </row>
    <row r="3026" spans="1:2">
      <c r="A3026">
        <v>3025</v>
      </c>
      <c r="B3026" s="2">
        <v>359.3412692588393</v>
      </c>
    </row>
    <row r="3027" spans="1:2">
      <c r="A3027">
        <v>3026</v>
      </c>
      <c r="B3027" s="2">
        <v>210.84802660139925</v>
      </c>
    </row>
    <row r="3028" spans="1:2">
      <c r="A3028">
        <v>3027</v>
      </c>
      <c r="B3028" s="2">
        <v>421.78154033266958</v>
      </c>
    </row>
    <row r="3029" spans="1:2">
      <c r="A3029">
        <v>3028</v>
      </c>
      <c r="B3029" s="2">
        <v>416.78600338032356</v>
      </c>
    </row>
    <row r="3030" spans="1:2">
      <c r="A3030">
        <v>3029</v>
      </c>
      <c r="B3030" s="2">
        <v>252.70593557574665</v>
      </c>
    </row>
    <row r="3031" spans="1:2">
      <c r="A3031">
        <v>3030</v>
      </c>
      <c r="B3031" s="2">
        <v>339.37888859270595</v>
      </c>
    </row>
    <row r="3032" spans="1:2">
      <c r="A3032">
        <v>3031</v>
      </c>
      <c r="B3032" s="2">
        <v>357.67322230910929</v>
      </c>
    </row>
    <row r="3033" spans="1:2">
      <c r="A3033">
        <v>3032</v>
      </c>
      <c r="B3033" s="2">
        <v>432.17264468217991</v>
      </c>
    </row>
    <row r="3034" spans="1:2">
      <c r="A3034">
        <v>3033</v>
      </c>
      <c r="B3034" s="2">
        <v>211.50400824724599</v>
      </c>
    </row>
    <row r="3035" spans="1:2">
      <c r="A3035">
        <v>3034</v>
      </c>
      <c r="B3035" s="2">
        <v>367.58051910898411</v>
      </c>
    </row>
    <row r="3036" spans="1:2">
      <c r="A3036">
        <v>3035</v>
      </c>
      <c r="B3036" s="2">
        <v>419.00923877090253</v>
      </c>
    </row>
    <row r="3037" spans="1:2">
      <c r="A3037">
        <v>3036</v>
      </c>
      <c r="B3037" s="2">
        <v>349.72872550995356</v>
      </c>
    </row>
    <row r="3038" spans="1:2">
      <c r="A3038">
        <v>3037</v>
      </c>
      <c r="B3038" s="2">
        <v>140.09557422458187</v>
      </c>
    </row>
    <row r="3039" spans="1:2">
      <c r="A3039">
        <v>3038</v>
      </c>
      <c r="B3039" s="2">
        <v>371.38004866621537</v>
      </c>
    </row>
    <row r="3040" spans="1:2">
      <c r="A3040">
        <v>3039</v>
      </c>
      <c r="B3040" s="2">
        <v>420.10349186389624</v>
      </c>
    </row>
    <row r="3041" spans="1:2">
      <c r="A3041">
        <v>3040</v>
      </c>
      <c r="B3041" s="2">
        <v>284.84793415978089</v>
      </c>
    </row>
    <row r="3042" spans="1:2">
      <c r="A3042">
        <v>3041</v>
      </c>
      <c r="B3042" s="2">
        <v>365.56175336115706</v>
      </c>
    </row>
    <row r="3043" spans="1:2">
      <c r="A3043">
        <v>3042</v>
      </c>
      <c r="B3043" s="2">
        <v>255.55591671920521</v>
      </c>
    </row>
    <row r="3044" spans="1:2">
      <c r="A3044">
        <v>3043</v>
      </c>
      <c r="B3044" s="2">
        <v>437.03196843977128</v>
      </c>
    </row>
    <row r="3045" spans="1:2">
      <c r="A3045">
        <v>3044</v>
      </c>
      <c r="B3045" s="2">
        <v>275.91344553381225</v>
      </c>
    </row>
    <row r="3046" spans="1:2">
      <c r="A3046">
        <v>3045</v>
      </c>
      <c r="B3046" s="2">
        <v>465.06984753896404</v>
      </c>
    </row>
    <row r="3047" spans="1:2">
      <c r="A3047">
        <v>3046</v>
      </c>
      <c r="B3047" s="2">
        <v>414.63200924395898</v>
      </c>
    </row>
    <row r="3048" spans="1:2">
      <c r="A3048">
        <v>3047</v>
      </c>
      <c r="B3048" s="2">
        <v>220.62550899672237</v>
      </c>
    </row>
    <row r="3049" spans="1:2">
      <c r="A3049">
        <v>3048</v>
      </c>
      <c r="B3049" s="2">
        <v>320.84161338710248</v>
      </c>
    </row>
    <row r="3050" spans="1:2">
      <c r="A3050">
        <v>3049</v>
      </c>
      <c r="B3050" s="2">
        <v>338.86450794516213</v>
      </c>
    </row>
    <row r="3051" spans="1:2">
      <c r="A3051">
        <v>3050</v>
      </c>
      <c r="B3051" s="2">
        <v>280.54833384162123</v>
      </c>
    </row>
    <row r="3052" spans="1:2">
      <c r="A3052">
        <v>3051</v>
      </c>
      <c r="B3052" s="2">
        <v>395.20357935970731</v>
      </c>
    </row>
    <row r="3053" spans="1:2">
      <c r="A3053">
        <v>3052</v>
      </c>
      <c r="B3053" s="2">
        <v>186.31478735463483</v>
      </c>
    </row>
    <row r="3054" spans="1:2">
      <c r="A3054">
        <v>3053</v>
      </c>
      <c r="B3054" s="2">
        <v>361.14150044876402</v>
      </c>
    </row>
    <row r="3055" spans="1:2">
      <c r="A3055">
        <v>3054</v>
      </c>
      <c r="B3055" s="2">
        <v>306.63995638527342</v>
      </c>
    </row>
    <row r="3056" spans="1:2">
      <c r="A3056">
        <v>3055</v>
      </c>
      <c r="B3056" s="2">
        <v>339.38946893282787</v>
      </c>
    </row>
    <row r="3057" spans="1:2">
      <c r="A3057">
        <v>3056</v>
      </c>
      <c r="B3057" s="2">
        <v>505.32415545665685</v>
      </c>
    </row>
    <row r="3058" spans="1:2">
      <c r="A3058">
        <v>3057</v>
      </c>
      <c r="B3058" s="2">
        <v>280.87947159527999</v>
      </c>
    </row>
    <row r="3059" spans="1:2">
      <c r="A3059">
        <v>3058</v>
      </c>
      <c r="B3059" s="2">
        <v>314.32790964192077</v>
      </c>
    </row>
    <row r="3060" spans="1:2">
      <c r="A3060">
        <v>3059</v>
      </c>
      <c r="B3060" s="2">
        <v>329.26030073877695</v>
      </c>
    </row>
    <row r="3061" spans="1:2">
      <c r="A3061">
        <v>3060</v>
      </c>
      <c r="B3061" s="2">
        <v>188.0157089828688</v>
      </c>
    </row>
    <row r="3062" spans="1:2">
      <c r="A3062">
        <v>3061</v>
      </c>
      <c r="B3062" s="2">
        <v>446.13418141689795</v>
      </c>
    </row>
    <row r="3063" spans="1:2">
      <c r="A3063">
        <v>3062</v>
      </c>
      <c r="B3063" s="2">
        <v>310.21873269512611</v>
      </c>
    </row>
    <row r="3064" spans="1:2">
      <c r="A3064">
        <v>3063</v>
      </c>
      <c r="B3064" s="2">
        <v>481.62893088427563</v>
      </c>
    </row>
    <row r="3065" spans="1:2">
      <c r="A3065">
        <v>3064</v>
      </c>
      <c r="B3065" s="2">
        <v>280.83861550055224</v>
      </c>
    </row>
    <row r="3066" spans="1:2">
      <c r="A3066">
        <v>3065</v>
      </c>
      <c r="B3066" s="2">
        <v>195.26842701997745</v>
      </c>
    </row>
    <row r="3067" spans="1:2">
      <c r="A3067">
        <v>3066</v>
      </c>
      <c r="B3067" s="2">
        <v>199.96170007340353</v>
      </c>
    </row>
    <row r="3068" spans="1:2">
      <c r="A3068">
        <v>3067</v>
      </c>
      <c r="B3068" s="2">
        <v>421.76811963411734</v>
      </c>
    </row>
    <row r="3069" spans="1:2">
      <c r="A3069">
        <v>3068</v>
      </c>
      <c r="B3069" s="2">
        <v>369.89413580125694</v>
      </c>
    </row>
    <row r="3070" spans="1:2">
      <c r="A3070">
        <v>3069</v>
      </c>
      <c r="B3070" s="2">
        <v>360.84748515180291</v>
      </c>
    </row>
    <row r="3071" spans="1:2">
      <c r="A3071">
        <v>3070</v>
      </c>
      <c r="B3071" s="2">
        <v>237.83768206835322</v>
      </c>
    </row>
    <row r="3072" spans="1:2">
      <c r="A3072">
        <v>3071</v>
      </c>
      <c r="B3072" s="2">
        <v>322.95615724329662</v>
      </c>
    </row>
    <row r="3073" spans="1:2">
      <c r="A3073">
        <v>3072</v>
      </c>
      <c r="B3073" s="2">
        <v>376.09399225890144</v>
      </c>
    </row>
    <row r="3074" spans="1:2">
      <c r="A3074">
        <v>3073</v>
      </c>
      <c r="B3074" s="2">
        <v>370.18219932279243</v>
      </c>
    </row>
    <row r="3075" spans="1:2">
      <c r="A3075">
        <v>3074</v>
      </c>
      <c r="B3075" s="2">
        <v>361.04257885075697</v>
      </c>
    </row>
    <row r="3076" spans="1:2">
      <c r="A3076">
        <v>3075</v>
      </c>
      <c r="B3076" s="2">
        <v>470.11271869566178</v>
      </c>
    </row>
    <row r="3077" spans="1:2">
      <c r="A3077">
        <v>3076</v>
      </c>
      <c r="B3077" s="2">
        <v>386.66314878649462</v>
      </c>
    </row>
    <row r="3078" spans="1:2">
      <c r="A3078">
        <v>3077</v>
      </c>
      <c r="B3078" s="2">
        <v>447.16281241892096</v>
      </c>
    </row>
    <row r="3079" spans="1:2">
      <c r="A3079">
        <v>3078</v>
      </c>
      <c r="B3079" s="2">
        <v>207.52940513703209</v>
      </c>
    </row>
    <row r="3080" spans="1:2">
      <c r="A3080">
        <v>3079</v>
      </c>
      <c r="B3080" s="2">
        <v>335.86361213792134</v>
      </c>
    </row>
    <row r="3081" spans="1:2">
      <c r="A3081">
        <v>3080</v>
      </c>
      <c r="B3081" s="2">
        <v>374.37410507081739</v>
      </c>
    </row>
    <row r="3082" spans="1:2">
      <c r="A3082">
        <v>3081</v>
      </c>
      <c r="B3082" s="2">
        <v>313.51577454628602</v>
      </c>
    </row>
    <row r="3083" spans="1:2">
      <c r="A3083">
        <v>3082</v>
      </c>
      <c r="B3083" s="2">
        <v>396.48349809369711</v>
      </c>
    </row>
    <row r="3084" spans="1:2">
      <c r="A3084">
        <v>3083</v>
      </c>
      <c r="B3084" s="2">
        <v>353.42089107649798</v>
      </c>
    </row>
    <row r="3085" spans="1:2">
      <c r="A3085">
        <v>3084</v>
      </c>
      <c r="B3085" s="2">
        <v>300.22505421857971</v>
      </c>
    </row>
    <row r="3086" spans="1:2">
      <c r="A3086">
        <v>3085</v>
      </c>
      <c r="B3086" s="2">
        <v>530.28318799401677</v>
      </c>
    </row>
    <row r="3087" spans="1:2">
      <c r="A3087">
        <v>3086</v>
      </c>
      <c r="B3087" s="2">
        <v>360.11041566585504</v>
      </c>
    </row>
    <row r="3088" spans="1:2">
      <c r="A3088">
        <v>3087</v>
      </c>
      <c r="B3088" s="2">
        <v>395.18892651524959</v>
      </c>
    </row>
    <row r="3089" spans="1:2">
      <c r="A3089">
        <v>3088</v>
      </c>
      <c r="B3089" s="2">
        <v>222.71237815104342</v>
      </c>
    </row>
    <row r="3090" spans="1:2">
      <c r="A3090">
        <v>3089</v>
      </c>
      <c r="B3090" s="2">
        <v>318.88585737473977</v>
      </c>
    </row>
    <row r="3091" spans="1:2">
      <c r="A3091">
        <v>3090</v>
      </c>
      <c r="B3091" s="2">
        <v>392.16956219400151</v>
      </c>
    </row>
    <row r="3092" spans="1:2">
      <c r="A3092">
        <v>3091</v>
      </c>
      <c r="B3092" s="2">
        <v>460.35549510890547</v>
      </c>
    </row>
    <row r="3093" spans="1:2">
      <c r="A3093">
        <v>3092</v>
      </c>
      <c r="B3093" s="2">
        <v>351.9834007236841</v>
      </c>
    </row>
    <row r="3094" spans="1:2">
      <c r="A3094">
        <v>3093</v>
      </c>
      <c r="B3094" s="2">
        <v>428.01683893906988</v>
      </c>
    </row>
    <row r="3095" spans="1:2">
      <c r="A3095">
        <v>3094</v>
      </c>
      <c r="B3095" s="2">
        <v>255.67794271736869</v>
      </c>
    </row>
    <row r="3096" spans="1:2">
      <c r="A3096">
        <v>3095</v>
      </c>
      <c r="B3096" s="2">
        <v>420.99314672747954</v>
      </c>
    </row>
    <row r="3097" spans="1:2">
      <c r="A3097">
        <v>3096</v>
      </c>
      <c r="B3097" s="2">
        <v>368.30377640410268</v>
      </c>
    </row>
    <row r="3098" spans="1:2">
      <c r="A3098">
        <v>3097</v>
      </c>
      <c r="B3098" s="2">
        <v>191.1064446215334</v>
      </c>
    </row>
    <row r="3099" spans="1:2">
      <c r="A3099">
        <v>3098</v>
      </c>
      <c r="B3099" s="2">
        <v>205.01907072942328</v>
      </c>
    </row>
    <row r="3100" spans="1:2">
      <c r="A3100">
        <v>3099</v>
      </c>
      <c r="B3100" s="2">
        <v>346.28824161776248</v>
      </c>
    </row>
    <row r="3101" spans="1:2">
      <c r="A3101">
        <v>3100</v>
      </c>
      <c r="B3101" s="2">
        <v>460.47405104902862</v>
      </c>
    </row>
    <row r="3102" spans="1:2">
      <c r="A3102">
        <v>3101</v>
      </c>
      <c r="B3102" s="2">
        <v>328.24955448284857</v>
      </c>
    </row>
    <row r="3103" spans="1:2">
      <c r="A3103">
        <v>3102</v>
      </c>
      <c r="B3103" s="2">
        <v>327.41414563586744</v>
      </c>
    </row>
    <row r="3104" spans="1:2">
      <c r="A3104">
        <v>3103</v>
      </c>
      <c r="B3104" s="2">
        <v>402.67962117912919</v>
      </c>
    </row>
    <row r="3105" spans="1:2">
      <c r="A3105">
        <v>3104</v>
      </c>
      <c r="B3105" s="2">
        <v>425.47718351574008</v>
      </c>
    </row>
    <row r="3106" spans="1:2">
      <c r="A3106">
        <v>3105</v>
      </c>
      <c r="B3106" s="2">
        <v>381.80312655435762</v>
      </c>
    </row>
    <row r="3107" spans="1:2">
      <c r="A3107">
        <v>3106</v>
      </c>
      <c r="B3107" s="2">
        <v>414.00163051443519</v>
      </c>
    </row>
    <row r="3108" spans="1:2">
      <c r="A3108">
        <v>3107</v>
      </c>
      <c r="B3108" s="2">
        <v>325.44367290052367</v>
      </c>
    </row>
    <row r="3109" spans="1:2">
      <c r="A3109">
        <v>3108</v>
      </c>
      <c r="B3109" s="2">
        <v>270.32797229817834</v>
      </c>
    </row>
    <row r="3110" spans="1:2">
      <c r="A3110">
        <v>3109</v>
      </c>
      <c r="B3110" s="2">
        <v>165.82796703697846</v>
      </c>
    </row>
    <row r="3111" spans="1:2">
      <c r="A3111">
        <v>3110</v>
      </c>
      <c r="B3111" s="2">
        <v>421.19025329385818</v>
      </c>
    </row>
    <row r="3112" spans="1:2">
      <c r="A3112">
        <v>3111</v>
      </c>
      <c r="B3112" s="2">
        <v>265.35770941379155</v>
      </c>
    </row>
    <row r="3113" spans="1:2">
      <c r="A3113">
        <v>3112</v>
      </c>
      <c r="B3113" s="2">
        <v>222.74188466630429</v>
      </c>
    </row>
    <row r="3114" spans="1:2">
      <c r="A3114">
        <v>3113</v>
      </c>
      <c r="B3114" s="2">
        <v>217.84817708585501</v>
      </c>
    </row>
    <row r="3115" spans="1:2">
      <c r="A3115">
        <v>3114</v>
      </c>
      <c r="B3115" s="2">
        <v>355.12488335689545</v>
      </c>
    </row>
    <row r="3116" spans="1:2">
      <c r="A3116">
        <v>3115</v>
      </c>
      <c r="B3116" s="2">
        <v>434.37773196046095</v>
      </c>
    </row>
    <row r="3117" spans="1:2">
      <c r="A3117">
        <v>3116</v>
      </c>
      <c r="B3117" s="2">
        <v>385.44596821399705</v>
      </c>
    </row>
    <row r="3118" spans="1:2">
      <c r="A3118">
        <v>3117</v>
      </c>
      <c r="B3118" s="2">
        <v>205.54571650037826</v>
      </c>
    </row>
    <row r="3119" spans="1:2">
      <c r="A3119">
        <v>3118</v>
      </c>
      <c r="B3119" s="2">
        <v>344.13622478484666</v>
      </c>
    </row>
    <row r="3120" spans="1:2">
      <c r="A3120">
        <v>3119</v>
      </c>
      <c r="B3120" s="2">
        <v>253.17933643950238</v>
      </c>
    </row>
    <row r="3121" spans="1:2">
      <c r="A3121">
        <v>3120</v>
      </c>
      <c r="B3121" s="2">
        <v>309.11002540827963</v>
      </c>
    </row>
    <row r="3122" spans="1:2">
      <c r="A3122">
        <v>3121</v>
      </c>
      <c r="B3122" s="2">
        <v>218.74079882504242</v>
      </c>
    </row>
    <row r="3123" spans="1:2">
      <c r="A3123">
        <v>3122</v>
      </c>
      <c r="B3123" s="2">
        <v>440.61351225583064</v>
      </c>
    </row>
    <row r="3124" spans="1:2">
      <c r="A3124">
        <v>3123</v>
      </c>
      <c r="B3124" s="2">
        <v>372.15044759301969</v>
      </c>
    </row>
    <row r="3125" spans="1:2">
      <c r="A3125">
        <v>3124</v>
      </c>
      <c r="B3125" s="2">
        <v>363.17803214127787</v>
      </c>
    </row>
    <row r="3126" spans="1:2">
      <c r="A3126">
        <v>3125</v>
      </c>
      <c r="B3126" s="2">
        <v>291.54871611792828</v>
      </c>
    </row>
    <row r="3127" spans="1:2">
      <c r="A3127">
        <v>3126</v>
      </c>
      <c r="B3127" s="2">
        <v>150.73132214772718</v>
      </c>
    </row>
    <row r="3128" spans="1:2">
      <c r="A3128">
        <v>3127</v>
      </c>
      <c r="B3128" s="2">
        <v>372.82795601567477</v>
      </c>
    </row>
    <row r="3129" spans="1:2">
      <c r="A3129">
        <v>3128</v>
      </c>
      <c r="B3129" s="2">
        <v>386.46539893531315</v>
      </c>
    </row>
    <row r="3130" spans="1:2">
      <c r="A3130">
        <v>3129</v>
      </c>
      <c r="B3130" s="2">
        <v>329.39863728415918</v>
      </c>
    </row>
    <row r="3131" spans="1:2">
      <c r="A3131">
        <v>3130</v>
      </c>
      <c r="B3131" s="2">
        <v>209.51432133560152</v>
      </c>
    </row>
    <row r="3132" spans="1:2">
      <c r="A3132">
        <v>3131</v>
      </c>
      <c r="B3132" s="2">
        <v>298.59703829532094</v>
      </c>
    </row>
    <row r="3133" spans="1:2">
      <c r="A3133">
        <v>3132</v>
      </c>
      <c r="B3133" s="2">
        <v>227.77896646242033</v>
      </c>
    </row>
    <row r="3134" spans="1:2">
      <c r="A3134">
        <v>3133</v>
      </c>
      <c r="B3134" s="2">
        <v>403.87330450964168</v>
      </c>
    </row>
    <row r="3135" spans="1:2">
      <c r="A3135">
        <v>3134</v>
      </c>
      <c r="B3135" s="2">
        <v>341.55220131534202</v>
      </c>
    </row>
    <row r="3136" spans="1:2">
      <c r="A3136">
        <v>3135</v>
      </c>
      <c r="B3136" s="2">
        <v>436.07645159491909</v>
      </c>
    </row>
    <row r="3137" spans="1:2">
      <c r="A3137">
        <v>3136</v>
      </c>
      <c r="B3137" s="2">
        <v>172.55625017184758</v>
      </c>
    </row>
    <row r="3138" spans="1:2">
      <c r="A3138">
        <v>3137</v>
      </c>
      <c r="B3138" s="2">
        <v>471.00471664923589</v>
      </c>
    </row>
    <row r="3139" spans="1:2">
      <c r="A3139">
        <v>3138</v>
      </c>
      <c r="B3139" s="2">
        <v>218.21581213549015</v>
      </c>
    </row>
    <row r="3140" spans="1:2">
      <c r="A3140">
        <v>3139</v>
      </c>
      <c r="B3140" s="2">
        <v>444.08193989887951</v>
      </c>
    </row>
    <row r="3141" spans="1:2">
      <c r="A3141">
        <v>3140</v>
      </c>
      <c r="B3141" s="2">
        <v>448.18635599994911</v>
      </c>
    </row>
    <row r="3142" spans="1:2">
      <c r="A3142">
        <v>3141</v>
      </c>
      <c r="B3142" s="2">
        <v>203.89482411034652</v>
      </c>
    </row>
    <row r="3143" spans="1:2">
      <c r="A3143">
        <v>3142</v>
      </c>
      <c r="B3143" s="2">
        <v>269.12807696813229</v>
      </c>
    </row>
    <row r="3144" spans="1:2">
      <c r="A3144">
        <v>3143</v>
      </c>
      <c r="B3144" s="2">
        <v>345.2861317157836</v>
      </c>
    </row>
    <row r="3145" spans="1:2">
      <c r="A3145">
        <v>3144</v>
      </c>
      <c r="B3145" s="2">
        <v>270.09948769048759</v>
      </c>
    </row>
    <row r="3146" spans="1:2">
      <c r="A3146">
        <v>3145</v>
      </c>
      <c r="B3146" s="2">
        <v>297.10125429207415</v>
      </c>
    </row>
    <row r="3147" spans="1:2">
      <c r="A3147">
        <v>3146</v>
      </c>
      <c r="B3147" s="2">
        <v>271.3306096586623</v>
      </c>
    </row>
    <row r="3148" spans="1:2">
      <c r="A3148">
        <v>3147</v>
      </c>
      <c r="B3148" s="2">
        <v>414.73368941709725</v>
      </c>
    </row>
    <row r="3149" spans="1:2">
      <c r="A3149">
        <v>3148</v>
      </c>
      <c r="B3149" s="2">
        <v>301.01522324742888</v>
      </c>
    </row>
    <row r="3150" spans="1:2">
      <c r="A3150">
        <v>3149</v>
      </c>
      <c r="B3150" s="2">
        <v>322.77262474731498</v>
      </c>
    </row>
    <row r="3151" spans="1:2">
      <c r="A3151">
        <v>3150</v>
      </c>
      <c r="B3151" s="2">
        <v>399.13768715751337</v>
      </c>
    </row>
    <row r="3152" spans="1:2">
      <c r="A3152">
        <v>3151</v>
      </c>
      <c r="B3152" s="2">
        <v>296.23595154840939</v>
      </c>
    </row>
    <row r="3153" spans="1:2">
      <c r="A3153">
        <v>3152</v>
      </c>
      <c r="B3153" s="2">
        <v>249.35592633532042</v>
      </c>
    </row>
    <row r="3154" spans="1:2">
      <c r="A3154">
        <v>3153</v>
      </c>
      <c r="B3154" s="2">
        <v>543.34585903324057</v>
      </c>
    </row>
    <row r="3155" spans="1:2">
      <c r="A3155">
        <v>3154</v>
      </c>
      <c r="B3155" s="2">
        <v>340.93709752158804</v>
      </c>
    </row>
    <row r="3156" spans="1:2">
      <c r="A3156">
        <v>3155</v>
      </c>
      <c r="B3156" s="2">
        <v>272.58859147595086</v>
      </c>
    </row>
    <row r="3157" spans="1:2">
      <c r="A3157">
        <v>3156</v>
      </c>
      <c r="B3157" s="2">
        <v>398.34672151404448</v>
      </c>
    </row>
    <row r="3158" spans="1:2">
      <c r="A3158">
        <v>3157</v>
      </c>
      <c r="B3158" s="2">
        <v>553.12768980819624</v>
      </c>
    </row>
    <row r="3159" spans="1:2">
      <c r="A3159">
        <v>3158</v>
      </c>
      <c r="B3159" s="2">
        <v>362.01647244314358</v>
      </c>
    </row>
    <row r="3160" spans="1:2">
      <c r="A3160">
        <v>3159</v>
      </c>
      <c r="B3160" s="2">
        <v>349.40220581587096</v>
      </c>
    </row>
    <row r="3161" spans="1:2">
      <c r="A3161">
        <v>3160</v>
      </c>
      <c r="B3161" s="2">
        <v>360.73171487845843</v>
      </c>
    </row>
    <row r="3162" spans="1:2">
      <c r="A3162">
        <v>3161</v>
      </c>
      <c r="B3162" s="2">
        <v>252.46210024566636</v>
      </c>
    </row>
    <row r="3163" spans="1:2">
      <c r="A3163">
        <v>3162</v>
      </c>
      <c r="B3163" s="2">
        <v>345.09878302091442</v>
      </c>
    </row>
    <row r="3164" spans="1:2">
      <c r="A3164">
        <v>3163</v>
      </c>
      <c r="B3164" s="2">
        <v>198.89110104901982</v>
      </c>
    </row>
    <row r="3165" spans="1:2">
      <c r="A3165">
        <v>3164</v>
      </c>
      <c r="B3165" s="2">
        <v>307.54175794463839</v>
      </c>
    </row>
    <row r="3166" spans="1:2">
      <c r="A3166">
        <v>3165</v>
      </c>
      <c r="B3166" s="2">
        <v>210.4791717773534</v>
      </c>
    </row>
    <row r="3167" spans="1:2">
      <c r="A3167">
        <v>3166</v>
      </c>
      <c r="B3167" s="2">
        <v>370.5867107744923</v>
      </c>
    </row>
    <row r="3168" spans="1:2">
      <c r="A3168">
        <v>3167</v>
      </c>
      <c r="B3168" s="2">
        <v>319.09676765097237</v>
      </c>
    </row>
    <row r="3169" spans="1:2">
      <c r="A3169">
        <v>3168</v>
      </c>
      <c r="B3169" s="2">
        <v>333.12554992554897</v>
      </c>
    </row>
    <row r="3170" spans="1:2">
      <c r="A3170">
        <v>3169</v>
      </c>
      <c r="B3170" s="2">
        <v>269.06643830819667</v>
      </c>
    </row>
    <row r="3171" spans="1:2">
      <c r="A3171">
        <v>3170</v>
      </c>
      <c r="B3171" s="2">
        <v>306.95982659086428</v>
      </c>
    </row>
    <row r="3172" spans="1:2">
      <c r="A3172">
        <v>3171</v>
      </c>
      <c r="B3172" s="2">
        <v>251.76215657335302</v>
      </c>
    </row>
    <row r="3173" spans="1:2">
      <c r="A3173">
        <v>3172</v>
      </c>
      <c r="B3173" s="2">
        <v>243.28194161066412</v>
      </c>
    </row>
    <row r="3174" spans="1:2">
      <c r="A3174">
        <v>3173</v>
      </c>
      <c r="B3174" s="2">
        <v>329.02584333413199</v>
      </c>
    </row>
    <row r="3175" spans="1:2">
      <c r="A3175">
        <v>3174</v>
      </c>
      <c r="B3175" s="2">
        <v>324.68144160914756</v>
      </c>
    </row>
    <row r="3176" spans="1:2">
      <c r="A3176">
        <v>3175</v>
      </c>
      <c r="B3176" s="2">
        <v>204.11290100879086</v>
      </c>
    </row>
    <row r="3177" spans="1:2">
      <c r="A3177">
        <v>3176</v>
      </c>
      <c r="B3177" s="2">
        <v>317.91646304198565</v>
      </c>
    </row>
    <row r="3178" spans="1:2">
      <c r="A3178">
        <v>3177</v>
      </c>
      <c r="B3178" s="2">
        <v>434.54846838721346</v>
      </c>
    </row>
    <row r="3179" spans="1:2">
      <c r="A3179">
        <v>3178</v>
      </c>
      <c r="B3179" s="2">
        <v>304.07940313023551</v>
      </c>
    </row>
    <row r="3180" spans="1:2">
      <c r="A3180">
        <v>3179</v>
      </c>
      <c r="B3180" s="2">
        <v>217.34496410423998</v>
      </c>
    </row>
    <row r="3181" spans="1:2">
      <c r="A3181">
        <v>3180</v>
      </c>
      <c r="B3181" s="2">
        <v>501.45626850065014</v>
      </c>
    </row>
    <row r="3182" spans="1:2">
      <c r="A3182">
        <v>3181</v>
      </c>
      <c r="B3182" s="2">
        <v>145.8950166165769</v>
      </c>
    </row>
    <row r="3183" spans="1:2">
      <c r="A3183">
        <v>3182</v>
      </c>
      <c r="B3183" s="2">
        <v>334.68299847825699</v>
      </c>
    </row>
    <row r="3184" spans="1:2">
      <c r="A3184">
        <v>3183</v>
      </c>
      <c r="B3184" s="2">
        <v>202.6811119309607</v>
      </c>
    </row>
    <row r="3185" spans="1:2">
      <c r="A3185">
        <v>3184</v>
      </c>
      <c r="B3185" s="2">
        <v>284.43762143532132</v>
      </c>
    </row>
    <row r="3186" spans="1:2">
      <c r="A3186">
        <v>3185</v>
      </c>
      <c r="B3186" s="2">
        <v>283.39541561682199</v>
      </c>
    </row>
    <row r="3187" spans="1:2">
      <c r="A3187">
        <v>3186</v>
      </c>
      <c r="B3187" s="2">
        <v>168.56996203873811</v>
      </c>
    </row>
    <row r="3188" spans="1:2">
      <c r="A3188">
        <v>3187</v>
      </c>
      <c r="B3188" s="2">
        <v>321.69847440035198</v>
      </c>
    </row>
    <row r="3189" spans="1:2">
      <c r="A3189">
        <v>3188</v>
      </c>
      <c r="B3189" s="2">
        <v>393.92177285472769</v>
      </c>
    </row>
    <row r="3190" spans="1:2">
      <c r="A3190">
        <v>3189</v>
      </c>
      <c r="B3190" s="2">
        <v>455.52406995121282</v>
      </c>
    </row>
    <row r="3191" spans="1:2">
      <c r="A3191">
        <v>3190</v>
      </c>
      <c r="B3191" s="2">
        <v>451.99620490069339</v>
      </c>
    </row>
    <row r="3192" spans="1:2">
      <c r="A3192">
        <v>3191</v>
      </c>
      <c r="B3192" s="2">
        <v>297.39258432488236</v>
      </c>
    </row>
    <row r="3193" spans="1:2">
      <c r="A3193">
        <v>3192</v>
      </c>
      <c r="B3193" s="2">
        <v>254.46868466214383</v>
      </c>
    </row>
    <row r="3194" spans="1:2">
      <c r="A3194">
        <v>3193</v>
      </c>
      <c r="B3194" s="2">
        <v>391.80999144319583</v>
      </c>
    </row>
    <row r="3195" spans="1:2">
      <c r="A3195">
        <v>3194</v>
      </c>
      <c r="B3195" s="2">
        <v>446.70061009334103</v>
      </c>
    </row>
    <row r="3196" spans="1:2">
      <c r="A3196">
        <v>3195</v>
      </c>
      <c r="B3196" s="2">
        <v>395.35269273032998</v>
      </c>
    </row>
    <row r="3197" spans="1:2">
      <c r="A3197">
        <v>3196</v>
      </c>
      <c r="B3197" s="2">
        <v>375.20933493602615</v>
      </c>
    </row>
    <row r="3198" spans="1:2">
      <c r="A3198">
        <v>3197</v>
      </c>
      <c r="B3198" s="2">
        <v>457.36889137883878</v>
      </c>
    </row>
    <row r="3199" spans="1:2">
      <c r="A3199">
        <v>3198</v>
      </c>
      <c r="B3199" s="2">
        <v>304.15747842703962</v>
      </c>
    </row>
    <row r="3200" spans="1:2">
      <c r="A3200">
        <v>3199</v>
      </c>
      <c r="B3200" s="2">
        <v>270.05872658365053</v>
      </c>
    </row>
    <row r="3201" spans="1:2">
      <c r="A3201">
        <v>3200</v>
      </c>
      <c r="B3201" s="2">
        <v>419.19670842493514</v>
      </c>
    </row>
    <row r="3202" spans="1:2">
      <c r="A3202">
        <v>3201</v>
      </c>
      <c r="B3202" s="2">
        <v>492.85247717925142</v>
      </c>
    </row>
    <row r="3203" spans="1:2">
      <c r="A3203">
        <v>3202</v>
      </c>
      <c r="B3203" s="2">
        <v>400.18568636944701</v>
      </c>
    </row>
    <row r="3204" spans="1:2">
      <c r="A3204">
        <v>3203</v>
      </c>
      <c r="B3204" s="2">
        <v>309.77980631125035</v>
      </c>
    </row>
    <row r="3205" spans="1:2">
      <c r="A3205">
        <v>3204</v>
      </c>
      <c r="B3205" s="2">
        <v>207.50879069268268</v>
      </c>
    </row>
    <row r="3206" spans="1:2">
      <c r="A3206">
        <v>3205</v>
      </c>
      <c r="B3206" s="2">
        <v>313.33182768208434</v>
      </c>
    </row>
    <row r="3207" spans="1:2">
      <c r="A3207">
        <v>3206</v>
      </c>
      <c r="B3207" s="2">
        <v>270.95990609988354</v>
      </c>
    </row>
    <row r="3208" spans="1:2">
      <c r="A3208">
        <v>3207</v>
      </c>
      <c r="B3208" s="2">
        <v>359.52829032353816</v>
      </c>
    </row>
    <row r="3209" spans="1:2">
      <c r="A3209">
        <v>3208</v>
      </c>
      <c r="B3209" s="2">
        <v>369.16709072552294</v>
      </c>
    </row>
    <row r="3210" spans="1:2">
      <c r="A3210">
        <v>3209</v>
      </c>
      <c r="B3210" s="2">
        <v>337.81594160543051</v>
      </c>
    </row>
    <row r="3211" spans="1:2">
      <c r="A3211">
        <v>3210</v>
      </c>
      <c r="B3211" s="2">
        <v>260.62675968663962</v>
      </c>
    </row>
    <row r="3212" spans="1:2">
      <c r="A3212">
        <v>3211</v>
      </c>
      <c r="B3212" s="2">
        <v>325.58945663080283</v>
      </c>
    </row>
    <row r="3213" spans="1:2">
      <c r="A3213">
        <v>3212</v>
      </c>
      <c r="B3213" s="2">
        <v>455.08189378644772</v>
      </c>
    </row>
    <row r="3214" spans="1:2">
      <c r="A3214">
        <v>3213</v>
      </c>
      <c r="B3214" s="2">
        <v>322.20087494588904</v>
      </c>
    </row>
    <row r="3215" spans="1:2">
      <c r="A3215">
        <v>3214</v>
      </c>
      <c r="B3215" s="2">
        <v>351.04690695682609</v>
      </c>
    </row>
    <row r="3216" spans="1:2">
      <c r="A3216">
        <v>3215</v>
      </c>
      <c r="B3216" s="2">
        <v>335.14779044852065</v>
      </c>
    </row>
    <row r="3217" spans="1:2">
      <c r="A3217">
        <v>3216</v>
      </c>
      <c r="B3217" s="2">
        <v>221.00554047216647</v>
      </c>
    </row>
    <row r="3218" spans="1:2">
      <c r="A3218">
        <v>3217</v>
      </c>
      <c r="B3218" s="2">
        <v>431.75080762268482</v>
      </c>
    </row>
    <row r="3219" spans="1:2">
      <c r="A3219">
        <v>3218</v>
      </c>
      <c r="B3219" s="2">
        <v>337.13551542082354</v>
      </c>
    </row>
    <row r="3220" spans="1:2">
      <c r="A3220">
        <v>3219</v>
      </c>
      <c r="B3220" s="2">
        <v>362.47529327613961</v>
      </c>
    </row>
    <row r="3221" spans="1:2">
      <c r="A3221">
        <v>3220</v>
      </c>
      <c r="B3221" s="2">
        <v>385.56072655427215</v>
      </c>
    </row>
    <row r="3222" spans="1:2">
      <c r="A3222">
        <v>3221</v>
      </c>
      <c r="B3222" s="2">
        <v>315.59661753817682</v>
      </c>
    </row>
    <row r="3223" spans="1:2">
      <c r="A3223">
        <v>3222</v>
      </c>
      <c r="B3223" s="2">
        <v>263.91079728968072</v>
      </c>
    </row>
    <row r="3224" spans="1:2">
      <c r="A3224">
        <v>3223</v>
      </c>
      <c r="B3224" s="2">
        <v>331.04382879990294</v>
      </c>
    </row>
    <row r="3225" spans="1:2">
      <c r="A3225">
        <v>3224</v>
      </c>
      <c r="B3225" s="2">
        <v>244.85517178395438</v>
      </c>
    </row>
    <row r="3226" spans="1:2">
      <c r="A3226">
        <v>3225</v>
      </c>
      <c r="B3226" s="2">
        <v>211.38302158900777</v>
      </c>
    </row>
    <row r="3227" spans="1:2">
      <c r="A3227">
        <v>3226</v>
      </c>
      <c r="B3227" s="2">
        <v>121.07832118438398</v>
      </c>
    </row>
    <row r="3228" spans="1:2">
      <c r="A3228">
        <v>3227</v>
      </c>
      <c r="B3228" s="2">
        <v>409.87287588426426</v>
      </c>
    </row>
    <row r="3229" spans="1:2">
      <c r="A3229">
        <v>3228</v>
      </c>
      <c r="B3229" s="2">
        <v>282.78130027802683</v>
      </c>
    </row>
    <row r="3230" spans="1:2">
      <c r="A3230">
        <v>3229</v>
      </c>
      <c r="B3230" s="2">
        <v>348.68529036448876</v>
      </c>
    </row>
    <row r="3231" spans="1:2">
      <c r="A3231">
        <v>3230</v>
      </c>
      <c r="B3231" s="2">
        <v>466.87724151564885</v>
      </c>
    </row>
    <row r="3232" spans="1:2">
      <c r="A3232">
        <v>3231</v>
      </c>
      <c r="B3232" s="2">
        <v>299.08645577786189</v>
      </c>
    </row>
    <row r="3233" spans="1:2">
      <c r="A3233">
        <v>3232</v>
      </c>
      <c r="B3233" s="2">
        <v>302.83013688981509</v>
      </c>
    </row>
    <row r="3234" spans="1:2">
      <c r="A3234">
        <v>3233</v>
      </c>
      <c r="B3234" s="2">
        <v>402.59991479827931</v>
      </c>
    </row>
    <row r="3235" spans="1:2">
      <c r="A3235">
        <v>3234</v>
      </c>
      <c r="B3235" s="2">
        <v>397.25919106417541</v>
      </c>
    </row>
    <row r="3236" spans="1:2">
      <c r="A3236">
        <v>3235</v>
      </c>
      <c r="B3236" s="2">
        <v>340.72737106477416</v>
      </c>
    </row>
    <row r="3237" spans="1:2">
      <c r="A3237">
        <v>3236</v>
      </c>
      <c r="B3237" s="2">
        <v>359.00455659893089</v>
      </c>
    </row>
    <row r="3238" spans="1:2">
      <c r="A3238">
        <v>3237</v>
      </c>
      <c r="B3238" s="2">
        <v>344.67267177771089</v>
      </c>
    </row>
    <row r="3239" spans="1:2">
      <c r="A3239">
        <v>3238</v>
      </c>
      <c r="B3239" s="2">
        <v>349.31836866744248</v>
      </c>
    </row>
    <row r="3240" spans="1:2">
      <c r="A3240">
        <v>3239</v>
      </c>
      <c r="B3240" s="2">
        <v>377.87944799611989</v>
      </c>
    </row>
    <row r="3241" spans="1:2">
      <c r="A3241">
        <v>3240</v>
      </c>
      <c r="B3241" s="2">
        <v>352.65026666812173</v>
      </c>
    </row>
    <row r="3242" spans="1:2">
      <c r="A3242">
        <v>3241</v>
      </c>
      <c r="B3242" s="2">
        <v>451.83442311676743</v>
      </c>
    </row>
    <row r="3243" spans="1:2">
      <c r="A3243">
        <v>3242</v>
      </c>
      <c r="B3243" s="2">
        <v>423.23930170527956</v>
      </c>
    </row>
    <row r="3244" spans="1:2">
      <c r="A3244">
        <v>3243</v>
      </c>
      <c r="B3244" s="2">
        <v>244.52960559917952</v>
      </c>
    </row>
    <row r="3245" spans="1:2">
      <c r="A3245">
        <v>3244</v>
      </c>
      <c r="B3245" s="2">
        <v>326.36434795581579</v>
      </c>
    </row>
    <row r="3246" spans="1:2">
      <c r="A3246">
        <v>3245</v>
      </c>
      <c r="B3246" s="2">
        <v>401.03488583065518</v>
      </c>
    </row>
    <row r="3247" spans="1:2">
      <c r="A3247">
        <v>3246</v>
      </c>
      <c r="B3247" s="2">
        <v>134.47070899634164</v>
      </c>
    </row>
    <row r="3248" spans="1:2">
      <c r="A3248">
        <v>3247</v>
      </c>
      <c r="B3248" s="2">
        <v>423.83564545838806</v>
      </c>
    </row>
    <row r="3249" spans="1:2">
      <c r="A3249">
        <v>3248</v>
      </c>
      <c r="B3249" s="2">
        <v>432.2555914904425</v>
      </c>
    </row>
    <row r="3250" spans="1:2">
      <c r="A3250">
        <v>3249</v>
      </c>
      <c r="B3250" s="2">
        <v>313.50835786604671</v>
      </c>
    </row>
    <row r="3251" spans="1:2">
      <c r="A3251">
        <v>3250</v>
      </c>
      <c r="B3251" s="2">
        <v>437.03410822767904</v>
      </c>
    </row>
    <row r="3252" spans="1:2">
      <c r="A3252">
        <v>3251</v>
      </c>
      <c r="B3252" s="2">
        <v>208.58558919783039</v>
      </c>
    </row>
    <row r="3253" spans="1:2">
      <c r="A3253">
        <v>3252</v>
      </c>
      <c r="B3253" s="2">
        <v>366.38631044699571</v>
      </c>
    </row>
    <row r="3254" spans="1:2">
      <c r="A3254">
        <v>3253</v>
      </c>
      <c r="B3254" s="2">
        <v>313.25093850266671</v>
      </c>
    </row>
    <row r="3255" spans="1:2">
      <c r="A3255">
        <v>3254</v>
      </c>
      <c r="B3255" s="2">
        <v>277.13175969261624</v>
      </c>
    </row>
    <row r="3256" spans="1:2">
      <c r="A3256">
        <v>3255</v>
      </c>
      <c r="B3256" s="2">
        <v>403.23077695535164</v>
      </c>
    </row>
    <row r="3257" spans="1:2">
      <c r="A3257">
        <v>3256</v>
      </c>
      <c r="B3257" s="2">
        <v>301.64747746217455</v>
      </c>
    </row>
    <row r="3258" spans="1:2">
      <c r="A3258">
        <v>3257</v>
      </c>
      <c r="B3258" s="2">
        <v>377.79146948364689</v>
      </c>
    </row>
    <row r="3259" spans="1:2">
      <c r="A3259">
        <v>3258</v>
      </c>
      <c r="B3259" s="2">
        <v>306.29701843488658</v>
      </c>
    </row>
    <row r="3260" spans="1:2">
      <c r="A3260">
        <v>3259</v>
      </c>
      <c r="B3260" s="2">
        <v>353.283437073355</v>
      </c>
    </row>
    <row r="3261" spans="1:2">
      <c r="A3261">
        <v>3260</v>
      </c>
      <c r="B3261" s="2">
        <v>268.28804233632093</v>
      </c>
    </row>
    <row r="3262" spans="1:2">
      <c r="A3262">
        <v>3261</v>
      </c>
      <c r="B3262" s="2">
        <v>402.25646012662708</v>
      </c>
    </row>
    <row r="3263" spans="1:2">
      <c r="A3263">
        <v>3262</v>
      </c>
      <c r="B3263" s="2">
        <v>450.8217880050592</v>
      </c>
    </row>
    <row r="3264" spans="1:2">
      <c r="A3264">
        <v>3263</v>
      </c>
      <c r="B3264" s="2">
        <v>388.85141342530744</v>
      </c>
    </row>
    <row r="3265" spans="1:2">
      <c r="A3265">
        <v>3264</v>
      </c>
      <c r="B3265" s="2">
        <v>374.73142915949313</v>
      </c>
    </row>
    <row r="3266" spans="1:2">
      <c r="A3266">
        <v>3265</v>
      </c>
      <c r="B3266" s="2">
        <v>334.86139883987062</v>
      </c>
    </row>
    <row r="3267" spans="1:2">
      <c r="A3267">
        <v>3266</v>
      </c>
      <c r="B3267" s="2">
        <v>509.6751396656951</v>
      </c>
    </row>
    <row r="3268" spans="1:2">
      <c r="A3268">
        <v>3267</v>
      </c>
      <c r="B3268" s="2">
        <v>342.11480218991545</v>
      </c>
    </row>
    <row r="3269" spans="1:2">
      <c r="A3269">
        <v>3268</v>
      </c>
      <c r="B3269" s="2">
        <v>341.27169984555582</v>
      </c>
    </row>
    <row r="3270" spans="1:2">
      <c r="A3270">
        <v>3269</v>
      </c>
      <c r="B3270" s="2">
        <v>395.91516060074116</v>
      </c>
    </row>
    <row r="3271" spans="1:2">
      <c r="A3271">
        <v>3270</v>
      </c>
      <c r="B3271" s="2">
        <v>301.33957663215426</v>
      </c>
    </row>
    <row r="3272" spans="1:2">
      <c r="A3272">
        <v>3271</v>
      </c>
      <c r="B3272" s="2">
        <v>483.77954934162108</v>
      </c>
    </row>
    <row r="3273" spans="1:2">
      <c r="A3273">
        <v>3272</v>
      </c>
      <c r="B3273" s="2">
        <v>299.94888412755091</v>
      </c>
    </row>
    <row r="3274" spans="1:2">
      <c r="A3274">
        <v>3273</v>
      </c>
      <c r="B3274" s="2">
        <v>478.35070643734286</v>
      </c>
    </row>
    <row r="3275" spans="1:2">
      <c r="A3275">
        <v>3274</v>
      </c>
      <c r="B3275" s="2">
        <v>191.99135007875873</v>
      </c>
    </row>
    <row r="3276" spans="1:2">
      <c r="A3276">
        <v>3275</v>
      </c>
      <c r="B3276" s="2">
        <v>353.7258058967447</v>
      </c>
    </row>
    <row r="3277" spans="1:2">
      <c r="A3277">
        <v>3276</v>
      </c>
      <c r="B3277" s="2">
        <v>383.87594627806681</v>
      </c>
    </row>
    <row r="3278" spans="1:2">
      <c r="A3278">
        <v>3277</v>
      </c>
      <c r="B3278" s="2">
        <v>424.22677444178862</v>
      </c>
    </row>
    <row r="3279" spans="1:2">
      <c r="A3279">
        <v>3278</v>
      </c>
      <c r="B3279" s="2">
        <v>297.07062907049271</v>
      </c>
    </row>
    <row r="3280" spans="1:2">
      <c r="A3280">
        <v>3279</v>
      </c>
      <c r="B3280" s="2">
        <v>282.61397622843333</v>
      </c>
    </row>
    <row r="3281" spans="1:2">
      <c r="A3281">
        <v>3280</v>
      </c>
      <c r="B3281" s="2">
        <v>357.5487799252038</v>
      </c>
    </row>
    <row r="3282" spans="1:2">
      <c r="A3282">
        <v>3281</v>
      </c>
      <c r="B3282" s="2">
        <v>207.17464933240348</v>
      </c>
    </row>
    <row r="3283" spans="1:2">
      <c r="A3283">
        <v>3282</v>
      </c>
      <c r="B3283" s="2">
        <v>411.06788802466167</v>
      </c>
    </row>
    <row r="3284" spans="1:2">
      <c r="A3284">
        <v>3283</v>
      </c>
      <c r="B3284" s="2">
        <v>282.01530242420313</v>
      </c>
    </row>
    <row r="3285" spans="1:2">
      <c r="A3285">
        <v>3284</v>
      </c>
      <c r="B3285" s="2">
        <v>377.18513859427702</v>
      </c>
    </row>
    <row r="3286" spans="1:2">
      <c r="A3286">
        <v>3285</v>
      </c>
      <c r="B3286" s="2">
        <v>257.51431234320796</v>
      </c>
    </row>
    <row r="3287" spans="1:2">
      <c r="A3287">
        <v>3286</v>
      </c>
      <c r="B3287" s="2">
        <v>349.39005796957753</v>
      </c>
    </row>
    <row r="3288" spans="1:2">
      <c r="A3288">
        <v>3287</v>
      </c>
      <c r="B3288" s="2">
        <v>330.20701544090116</v>
      </c>
    </row>
    <row r="3289" spans="1:2">
      <c r="A3289">
        <v>3288</v>
      </c>
      <c r="B3289" s="2">
        <v>280.78716948550914</v>
      </c>
    </row>
    <row r="3290" spans="1:2">
      <c r="A3290">
        <v>3289</v>
      </c>
      <c r="B3290" s="2">
        <v>248.01682698304552</v>
      </c>
    </row>
    <row r="3291" spans="1:2">
      <c r="A3291">
        <v>3290</v>
      </c>
      <c r="B3291" s="2">
        <v>334.43276469838065</v>
      </c>
    </row>
    <row r="3292" spans="1:2">
      <c r="A3292">
        <v>3291</v>
      </c>
      <c r="B3292" s="2">
        <v>209.2905475980761</v>
      </c>
    </row>
    <row r="3293" spans="1:2">
      <c r="A3293">
        <v>3292</v>
      </c>
      <c r="B3293" s="2">
        <v>219.05292069947146</v>
      </c>
    </row>
    <row r="3294" spans="1:2">
      <c r="A3294">
        <v>3293</v>
      </c>
      <c r="B3294" s="2">
        <v>427.13869500843123</v>
      </c>
    </row>
    <row r="3295" spans="1:2">
      <c r="A3295">
        <v>3294</v>
      </c>
      <c r="B3295" s="2">
        <v>354.63361249687773</v>
      </c>
    </row>
    <row r="3296" spans="1:2">
      <c r="A3296">
        <v>3295</v>
      </c>
      <c r="B3296" s="2">
        <v>200.24933837509008</v>
      </c>
    </row>
    <row r="3297" spans="1:2">
      <c r="A3297">
        <v>3296</v>
      </c>
      <c r="B3297" s="2">
        <v>478.99153261757061</v>
      </c>
    </row>
    <row r="3298" spans="1:2">
      <c r="A3298">
        <v>3297</v>
      </c>
      <c r="B3298" s="2">
        <v>247.16176326248421</v>
      </c>
    </row>
    <row r="3299" spans="1:2">
      <c r="A3299">
        <v>3298</v>
      </c>
      <c r="B3299" s="2">
        <v>297.43798052345022</v>
      </c>
    </row>
    <row r="3300" spans="1:2">
      <c r="A3300">
        <v>3299</v>
      </c>
      <c r="B3300" s="2">
        <v>499.04945245747751</v>
      </c>
    </row>
    <row r="3301" spans="1:2">
      <c r="A3301">
        <v>3300</v>
      </c>
      <c r="B3301" s="2">
        <v>254.72855551062483</v>
      </c>
    </row>
    <row r="3302" spans="1:2">
      <c r="A3302">
        <v>3301</v>
      </c>
      <c r="B3302" s="2">
        <v>301.54142314297133</v>
      </c>
    </row>
    <row r="3303" spans="1:2">
      <c r="A3303">
        <v>3302</v>
      </c>
      <c r="B3303" s="2">
        <v>358.84911727600718</v>
      </c>
    </row>
    <row r="3304" spans="1:2">
      <c r="A3304">
        <v>3303</v>
      </c>
      <c r="B3304" s="2">
        <v>218.07727330792088</v>
      </c>
    </row>
    <row r="3305" spans="1:2">
      <c r="A3305">
        <v>3304</v>
      </c>
      <c r="B3305" s="2">
        <v>408.68262993188569</v>
      </c>
    </row>
    <row r="3306" spans="1:2">
      <c r="A3306">
        <v>3305</v>
      </c>
      <c r="B3306" s="2">
        <v>416.96493078690838</v>
      </c>
    </row>
    <row r="3307" spans="1:2">
      <c r="A3307">
        <v>3306</v>
      </c>
      <c r="B3307" s="2">
        <v>235.78347833303607</v>
      </c>
    </row>
    <row r="3308" spans="1:2">
      <c r="A3308">
        <v>3307</v>
      </c>
      <c r="B3308" s="2">
        <v>278.07493671375028</v>
      </c>
    </row>
    <row r="3309" spans="1:2">
      <c r="A3309">
        <v>3308</v>
      </c>
      <c r="B3309" s="2">
        <v>434.70651385700234</v>
      </c>
    </row>
    <row r="3310" spans="1:2">
      <c r="A3310">
        <v>3309</v>
      </c>
      <c r="B3310" s="2">
        <v>427.06751337432536</v>
      </c>
    </row>
    <row r="3311" spans="1:2">
      <c r="A3311">
        <v>3310</v>
      </c>
      <c r="B3311" s="2">
        <v>348.98630356233321</v>
      </c>
    </row>
    <row r="3312" spans="1:2">
      <c r="A3312">
        <v>3311</v>
      </c>
      <c r="B3312" s="2">
        <v>307.32436985219783</v>
      </c>
    </row>
    <row r="3313" spans="1:2">
      <c r="A3313">
        <v>3312</v>
      </c>
      <c r="B3313" s="2">
        <v>289.54600092263274</v>
      </c>
    </row>
    <row r="3314" spans="1:2">
      <c r="A3314">
        <v>3313</v>
      </c>
      <c r="B3314" s="2">
        <v>502.06444304355023</v>
      </c>
    </row>
    <row r="3315" spans="1:2">
      <c r="A3315">
        <v>3314</v>
      </c>
      <c r="B3315" s="2">
        <v>375.10639108903786</v>
      </c>
    </row>
    <row r="3316" spans="1:2">
      <c r="A3316">
        <v>3315</v>
      </c>
      <c r="B3316" s="2">
        <v>454.5213407872825</v>
      </c>
    </row>
    <row r="3317" spans="1:2">
      <c r="A3317">
        <v>3316</v>
      </c>
      <c r="B3317" s="2">
        <v>412.97573278041244</v>
      </c>
    </row>
    <row r="3318" spans="1:2">
      <c r="A3318">
        <v>3317</v>
      </c>
      <c r="B3318" s="2">
        <v>395.17194987941434</v>
      </c>
    </row>
    <row r="3319" spans="1:2">
      <c r="A3319">
        <v>3318</v>
      </c>
      <c r="B3319" s="2">
        <v>312.06524761808674</v>
      </c>
    </row>
    <row r="3320" spans="1:2">
      <c r="A3320">
        <v>3319</v>
      </c>
      <c r="B3320" s="2">
        <v>356.11544065927114</v>
      </c>
    </row>
    <row r="3321" spans="1:2">
      <c r="A3321">
        <v>3320</v>
      </c>
      <c r="B3321" s="2">
        <v>227.67851611625332</v>
      </c>
    </row>
    <row r="3322" spans="1:2">
      <c r="A3322">
        <v>3321</v>
      </c>
      <c r="B3322" s="2">
        <v>496.53381050336793</v>
      </c>
    </row>
    <row r="3323" spans="1:2">
      <c r="A3323">
        <v>3322</v>
      </c>
      <c r="B3323" s="2">
        <v>425.58191818935069</v>
      </c>
    </row>
    <row r="3324" spans="1:2">
      <c r="A3324">
        <v>3323</v>
      </c>
      <c r="B3324" s="2">
        <v>273.14418190469888</v>
      </c>
    </row>
    <row r="3325" spans="1:2">
      <c r="A3325">
        <v>3324</v>
      </c>
      <c r="B3325" s="2">
        <v>411.27778383139798</v>
      </c>
    </row>
    <row r="3326" spans="1:2">
      <c r="A3326">
        <v>3325</v>
      </c>
      <c r="B3326" s="2">
        <v>435.98886791616343</v>
      </c>
    </row>
    <row r="3327" spans="1:2">
      <c r="A3327">
        <v>3326</v>
      </c>
      <c r="B3327" s="2">
        <v>464.13251804586588</v>
      </c>
    </row>
    <row r="3328" spans="1:2">
      <c r="A3328">
        <v>3327</v>
      </c>
      <c r="B3328" s="2">
        <v>323.42726625827936</v>
      </c>
    </row>
    <row r="3329" spans="1:2">
      <c r="A3329">
        <v>3328</v>
      </c>
      <c r="B3329" s="2">
        <v>397.35112179251735</v>
      </c>
    </row>
    <row r="3330" spans="1:2">
      <c r="A3330">
        <v>3329</v>
      </c>
      <c r="B3330" s="2">
        <v>245.780843407688</v>
      </c>
    </row>
    <row r="3331" spans="1:2">
      <c r="A3331">
        <v>3330</v>
      </c>
      <c r="B3331" s="2">
        <v>283.26587727143703</v>
      </c>
    </row>
    <row r="3332" spans="1:2">
      <c r="A3332">
        <v>3331</v>
      </c>
      <c r="B3332" s="2">
        <v>380.23259749436579</v>
      </c>
    </row>
    <row r="3333" spans="1:2">
      <c r="A3333">
        <v>3332</v>
      </c>
      <c r="B3333" s="2">
        <v>491.65991770083815</v>
      </c>
    </row>
    <row r="3334" spans="1:2">
      <c r="A3334">
        <v>3333</v>
      </c>
      <c r="B3334" s="2">
        <v>359.1276234653709</v>
      </c>
    </row>
    <row r="3335" spans="1:2">
      <c r="A3335">
        <v>3334</v>
      </c>
      <c r="B3335" s="2">
        <v>307.92340314932113</v>
      </c>
    </row>
    <row r="3336" spans="1:2">
      <c r="A3336">
        <v>3335</v>
      </c>
      <c r="B3336" s="2">
        <v>313.58711714119613</v>
      </c>
    </row>
    <row r="3337" spans="1:2">
      <c r="A3337">
        <v>3336</v>
      </c>
      <c r="B3337" s="2">
        <v>432.85817027870581</v>
      </c>
    </row>
    <row r="3338" spans="1:2">
      <c r="A3338">
        <v>3337</v>
      </c>
      <c r="B3338" s="2">
        <v>315.33439913326174</v>
      </c>
    </row>
    <row r="3339" spans="1:2">
      <c r="A3339">
        <v>3338</v>
      </c>
      <c r="B3339" s="2">
        <v>471.41383338251649</v>
      </c>
    </row>
    <row r="3340" spans="1:2">
      <c r="A3340">
        <v>3339</v>
      </c>
      <c r="B3340" s="2">
        <v>478.1114376583979</v>
      </c>
    </row>
    <row r="3341" spans="1:2">
      <c r="A3341">
        <v>3340</v>
      </c>
      <c r="B3341" s="2">
        <v>229.60812668004235</v>
      </c>
    </row>
    <row r="3342" spans="1:2">
      <c r="A3342">
        <v>3341</v>
      </c>
      <c r="B3342" s="2">
        <v>318.71290790095424</v>
      </c>
    </row>
    <row r="3343" spans="1:2">
      <c r="A3343">
        <v>3342</v>
      </c>
      <c r="B3343" s="2">
        <v>256.04368398689365</v>
      </c>
    </row>
    <row r="3344" spans="1:2">
      <c r="A3344">
        <v>3343</v>
      </c>
      <c r="B3344" s="2">
        <v>496.04192349873506</v>
      </c>
    </row>
    <row r="3345" spans="1:2">
      <c r="A3345">
        <v>3344</v>
      </c>
      <c r="B3345" s="2">
        <v>368.0697772665859</v>
      </c>
    </row>
    <row r="3346" spans="1:2">
      <c r="A3346">
        <v>3345</v>
      </c>
      <c r="B3346" s="2">
        <v>278.52264190889582</v>
      </c>
    </row>
    <row r="3347" spans="1:2">
      <c r="A3347">
        <v>3346</v>
      </c>
      <c r="B3347" s="2">
        <v>331.18932131176587</v>
      </c>
    </row>
    <row r="3348" spans="1:2">
      <c r="A3348">
        <v>3347</v>
      </c>
      <c r="B3348" s="2">
        <v>183.72363475708022</v>
      </c>
    </row>
    <row r="3349" spans="1:2">
      <c r="A3349">
        <v>3348</v>
      </c>
      <c r="B3349" s="2">
        <v>168.25810600167398</v>
      </c>
    </row>
    <row r="3350" spans="1:2">
      <c r="A3350">
        <v>3349</v>
      </c>
      <c r="B3350" s="2">
        <v>369.5058320559005</v>
      </c>
    </row>
    <row r="3351" spans="1:2">
      <c r="A3351">
        <v>3350</v>
      </c>
      <c r="B3351" s="2">
        <v>91.717371230003437</v>
      </c>
    </row>
    <row r="3352" spans="1:2">
      <c r="A3352">
        <v>3351</v>
      </c>
      <c r="B3352" s="2">
        <v>379.38064150221589</v>
      </c>
    </row>
    <row r="3353" spans="1:2">
      <c r="A3353">
        <v>3352</v>
      </c>
      <c r="B3353" s="2">
        <v>307.66458934832701</v>
      </c>
    </row>
    <row r="3354" spans="1:2">
      <c r="A3354">
        <v>3353</v>
      </c>
      <c r="B3354" s="2">
        <v>262.3170479843663</v>
      </c>
    </row>
    <row r="3355" spans="1:2">
      <c r="A3355">
        <v>3354</v>
      </c>
      <c r="B3355" s="2">
        <v>520.89362054188985</v>
      </c>
    </row>
    <row r="3356" spans="1:2">
      <c r="A3356">
        <v>3355</v>
      </c>
      <c r="B3356" s="2">
        <v>272.65320614800464</v>
      </c>
    </row>
    <row r="3357" spans="1:2">
      <c r="A3357">
        <v>3356</v>
      </c>
      <c r="B3357" s="2">
        <v>308.89864311019727</v>
      </c>
    </row>
    <row r="3358" spans="1:2">
      <c r="A3358">
        <v>3357</v>
      </c>
      <c r="B3358" s="2">
        <v>382.89070801047285</v>
      </c>
    </row>
    <row r="3359" spans="1:2">
      <c r="A3359">
        <v>3358</v>
      </c>
      <c r="B3359" s="2">
        <v>308.55022067834329</v>
      </c>
    </row>
    <row r="3360" spans="1:2">
      <c r="A3360">
        <v>3359</v>
      </c>
      <c r="B3360" s="2">
        <v>207.48958178159532</v>
      </c>
    </row>
    <row r="3361" spans="1:2">
      <c r="A3361">
        <v>3360</v>
      </c>
      <c r="B3361" s="2">
        <v>354.41962725119294</v>
      </c>
    </row>
    <row r="3362" spans="1:2">
      <c r="A3362">
        <v>3361</v>
      </c>
      <c r="B3362" s="2">
        <v>173.18952876469268</v>
      </c>
    </row>
    <row r="3363" spans="1:2">
      <c r="A3363">
        <v>3362</v>
      </c>
      <c r="B3363" s="2">
        <v>350.51730062612637</v>
      </c>
    </row>
    <row r="3364" spans="1:2">
      <c r="A3364">
        <v>3363</v>
      </c>
      <c r="B3364" s="2">
        <v>333.2806338774094</v>
      </c>
    </row>
    <row r="3365" spans="1:2">
      <c r="A3365">
        <v>3364</v>
      </c>
      <c r="B3365" s="2">
        <v>408.30818715259534</v>
      </c>
    </row>
    <row r="3366" spans="1:2">
      <c r="A3366">
        <v>3365</v>
      </c>
      <c r="B3366" s="2">
        <v>335.48068740152075</v>
      </c>
    </row>
    <row r="3367" spans="1:2">
      <c r="A3367">
        <v>3366</v>
      </c>
      <c r="B3367" s="2">
        <v>371.32642446466906</v>
      </c>
    </row>
    <row r="3368" spans="1:2">
      <c r="A3368">
        <v>3367</v>
      </c>
      <c r="B3368" s="2">
        <v>371.22885596878569</v>
      </c>
    </row>
    <row r="3369" spans="1:2">
      <c r="A3369">
        <v>3368</v>
      </c>
      <c r="B3369" s="2">
        <v>391.32173925527104</v>
      </c>
    </row>
    <row r="3370" spans="1:2">
      <c r="A3370">
        <v>3369</v>
      </c>
      <c r="B3370" s="2">
        <v>347.48649543772694</v>
      </c>
    </row>
    <row r="3371" spans="1:2">
      <c r="A3371">
        <v>3370</v>
      </c>
      <c r="B3371" s="2">
        <v>356.72769282888538</v>
      </c>
    </row>
    <row r="3372" spans="1:2">
      <c r="A3372">
        <v>3371</v>
      </c>
      <c r="B3372" s="2">
        <v>301.55301212885274</v>
      </c>
    </row>
    <row r="3373" spans="1:2">
      <c r="A3373">
        <v>3372</v>
      </c>
      <c r="B3373" s="2">
        <v>294.78436226902454</v>
      </c>
    </row>
    <row r="3374" spans="1:2">
      <c r="A3374">
        <v>3373</v>
      </c>
      <c r="B3374" s="2">
        <v>307.39431093931989</v>
      </c>
    </row>
    <row r="3375" spans="1:2">
      <c r="A3375">
        <v>3374</v>
      </c>
      <c r="B3375" s="2">
        <v>397.58495041676633</v>
      </c>
    </row>
    <row r="3376" spans="1:2">
      <c r="A3376">
        <v>3375</v>
      </c>
      <c r="B3376" s="2">
        <v>242.33646187163578</v>
      </c>
    </row>
    <row r="3377" spans="1:2">
      <c r="A3377">
        <v>3376</v>
      </c>
      <c r="B3377" s="2">
        <v>247.54614165779094</v>
      </c>
    </row>
    <row r="3378" spans="1:2">
      <c r="A3378">
        <v>3377</v>
      </c>
      <c r="B3378" s="2">
        <v>222.3812530117375</v>
      </c>
    </row>
    <row r="3379" spans="1:2">
      <c r="A3379">
        <v>3378</v>
      </c>
      <c r="B3379" s="2">
        <v>290.35266255674071</v>
      </c>
    </row>
    <row r="3380" spans="1:2">
      <c r="A3380">
        <v>3379</v>
      </c>
      <c r="B3380" s="2">
        <v>474.43023520374959</v>
      </c>
    </row>
    <row r="3381" spans="1:2">
      <c r="A3381">
        <v>3380</v>
      </c>
      <c r="B3381" s="2">
        <v>309.91914356553701</v>
      </c>
    </row>
    <row r="3382" spans="1:2">
      <c r="A3382">
        <v>3381</v>
      </c>
      <c r="B3382" s="2">
        <v>370.61459014385446</v>
      </c>
    </row>
    <row r="3383" spans="1:2">
      <c r="A3383">
        <v>3382</v>
      </c>
      <c r="B3383" s="2">
        <v>379.78030239207186</v>
      </c>
    </row>
    <row r="3384" spans="1:2">
      <c r="A3384">
        <v>3383</v>
      </c>
      <c r="B3384" s="2">
        <v>182.15265376115593</v>
      </c>
    </row>
    <row r="3385" spans="1:2">
      <c r="A3385">
        <v>3384</v>
      </c>
      <c r="B3385" s="2">
        <v>419.80948614449215</v>
      </c>
    </row>
    <row r="3386" spans="1:2">
      <c r="A3386">
        <v>3385</v>
      </c>
      <c r="B3386" s="2">
        <v>432.10875396396108</v>
      </c>
    </row>
    <row r="3387" spans="1:2">
      <c r="A3387">
        <v>3386</v>
      </c>
      <c r="B3387" s="2">
        <v>236.02834660339812</v>
      </c>
    </row>
    <row r="3388" spans="1:2">
      <c r="A3388">
        <v>3387</v>
      </c>
      <c r="B3388" s="2">
        <v>241.19791948022203</v>
      </c>
    </row>
    <row r="3389" spans="1:2">
      <c r="A3389">
        <v>3388</v>
      </c>
      <c r="B3389" s="2">
        <v>303.56364618796397</v>
      </c>
    </row>
    <row r="3390" spans="1:2">
      <c r="A3390">
        <v>3389</v>
      </c>
      <c r="B3390" s="2">
        <v>317.68743889971034</v>
      </c>
    </row>
    <row r="3391" spans="1:2">
      <c r="A3391">
        <v>3390</v>
      </c>
      <c r="B3391" s="2">
        <v>281.47533964728041</v>
      </c>
    </row>
    <row r="3392" spans="1:2">
      <c r="A3392">
        <v>3391</v>
      </c>
      <c r="B3392" s="2">
        <v>278.57290917910257</v>
      </c>
    </row>
    <row r="3393" spans="1:2">
      <c r="A3393">
        <v>3392</v>
      </c>
      <c r="B3393" s="2">
        <v>360.44146905942785</v>
      </c>
    </row>
    <row r="3394" spans="1:2">
      <c r="A3394">
        <v>3393</v>
      </c>
      <c r="B3394" s="2">
        <v>314.10580319023319</v>
      </c>
    </row>
    <row r="3395" spans="1:2">
      <c r="A3395">
        <v>3394</v>
      </c>
      <c r="B3395" s="2">
        <v>392.1574273729882</v>
      </c>
    </row>
    <row r="3396" spans="1:2">
      <c r="A3396">
        <v>3395</v>
      </c>
      <c r="B3396" s="2">
        <v>446.84590180537117</v>
      </c>
    </row>
    <row r="3397" spans="1:2">
      <c r="A3397">
        <v>3396</v>
      </c>
      <c r="B3397" s="2">
        <v>317.73240624799871</v>
      </c>
    </row>
    <row r="3398" spans="1:2">
      <c r="A3398">
        <v>3397</v>
      </c>
      <c r="B3398" s="2">
        <v>425.65071976911963</v>
      </c>
    </row>
    <row r="3399" spans="1:2">
      <c r="A3399">
        <v>3398</v>
      </c>
      <c r="B3399" s="2">
        <v>399.85888117966118</v>
      </c>
    </row>
    <row r="3400" spans="1:2">
      <c r="A3400">
        <v>3399</v>
      </c>
      <c r="B3400" s="2">
        <v>398.25549599781499</v>
      </c>
    </row>
    <row r="3401" spans="1:2">
      <c r="A3401">
        <v>3400</v>
      </c>
      <c r="B3401" s="2">
        <v>343.46706623416185</v>
      </c>
    </row>
    <row r="3402" spans="1:2">
      <c r="A3402">
        <v>3401</v>
      </c>
      <c r="B3402" s="2">
        <v>345.39696907972706</v>
      </c>
    </row>
    <row r="3403" spans="1:2">
      <c r="A3403">
        <v>3402</v>
      </c>
      <c r="B3403" s="2">
        <v>394.85978302680223</v>
      </c>
    </row>
    <row r="3404" spans="1:2">
      <c r="A3404">
        <v>3403</v>
      </c>
      <c r="B3404" s="2">
        <v>407.0384631296825</v>
      </c>
    </row>
    <row r="3405" spans="1:2">
      <c r="A3405">
        <v>3404</v>
      </c>
      <c r="B3405" s="2">
        <v>456.08491872622699</v>
      </c>
    </row>
    <row r="3406" spans="1:2">
      <c r="A3406">
        <v>3405</v>
      </c>
      <c r="B3406" s="2">
        <v>455.05554273557823</v>
      </c>
    </row>
    <row r="3407" spans="1:2">
      <c r="A3407">
        <v>3406</v>
      </c>
      <c r="B3407" s="2">
        <v>296.69621402943983</v>
      </c>
    </row>
    <row r="3408" spans="1:2">
      <c r="A3408">
        <v>3407</v>
      </c>
      <c r="B3408" s="2">
        <v>418.80272448017706</v>
      </c>
    </row>
    <row r="3409" spans="1:2">
      <c r="A3409">
        <v>3408</v>
      </c>
      <c r="B3409" s="2">
        <v>386.02324415337301</v>
      </c>
    </row>
    <row r="3410" spans="1:2">
      <c r="A3410">
        <v>3409</v>
      </c>
      <c r="B3410" s="2">
        <v>258.50145473268378</v>
      </c>
    </row>
    <row r="3411" spans="1:2">
      <c r="A3411">
        <v>3410</v>
      </c>
      <c r="B3411" s="2">
        <v>429.15403011156064</v>
      </c>
    </row>
    <row r="3412" spans="1:2">
      <c r="A3412">
        <v>3411</v>
      </c>
      <c r="B3412" s="2">
        <v>216.98363104510238</v>
      </c>
    </row>
    <row r="3413" spans="1:2">
      <c r="A3413">
        <v>3412</v>
      </c>
      <c r="B3413" s="2">
        <v>515.43114964585482</v>
      </c>
    </row>
    <row r="3414" spans="1:2">
      <c r="A3414">
        <v>3413</v>
      </c>
      <c r="B3414" s="2">
        <v>263.90446971926798</v>
      </c>
    </row>
    <row r="3415" spans="1:2">
      <c r="A3415">
        <v>3414</v>
      </c>
      <c r="B3415" s="2">
        <v>352.76249030100382</v>
      </c>
    </row>
    <row r="3416" spans="1:2">
      <c r="A3416">
        <v>3415</v>
      </c>
      <c r="B3416" s="2">
        <v>339.45321966699748</v>
      </c>
    </row>
    <row r="3417" spans="1:2">
      <c r="A3417">
        <v>3416</v>
      </c>
      <c r="B3417" s="2">
        <v>398.11980488053325</v>
      </c>
    </row>
    <row r="3418" spans="1:2">
      <c r="A3418">
        <v>3417</v>
      </c>
      <c r="B3418" s="2">
        <v>254.09806693944455</v>
      </c>
    </row>
    <row r="3419" spans="1:2">
      <c r="A3419">
        <v>3418</v>
      </c>
      <c r="B3419" s="2">
        <v>447.97826368557594</v>
      </c>
    </row>
    <row r="3420" spans="1:2">
      <c r="A3420">
        <v>3419</v>
      </c>
      <c r="B3420" s="2">
        <v>342.21268166858329</v>
      </c>
    </row>
    <row r="3421" spans="1:2">
      <c r="A3421">
        <v>3420</v>
      </c>
      <c r="B3421" s="2">
        <v>466.50497625911305</v>
      </c>
    </row>
    <row r="3422" spans="1:2">
      <c r="A3422">
        <v>3421</v>
      </c>
      <c r="B3422" s="2">
        <v>388.17823853727816</v>
      </c>
    </row>
    <row r="3423" spans="1:2">
      <c r="A3423">
        <v>3422</v>
      </c>
      <c r="B3423" s="2">
        <v>326.50440276864464</v>
      </c>
    </row>
    <row r="3424" spans="1:2">
      <c r="A3424">
        <v>3423</v>
      </c>
      <c r="B3424" s="2">
        <v>275.51869509321978</v>
      </c>
    </row>
    <row r="3425" spans="1:2">
      <c r="A3425">
        <v>3424</v>
      </c>
      <c r="B3425" s="2">
        <v>280.94455694466239</v>
      </c>
    </row>
    <row r="3426" spans="1:2">
      <c r="A3426">
        <v>3425</v>
      </c>
      <c r="B3426" s="2">
        <v>417.30680125667789</v>
      </c>
    </row>
    <row r="3427" spans="1:2">
      <c r="A3427">
        <v>3426</v>
      </c>
      <c r="B3427" s="2">
        <v>433.45952838366787</v>
      </c>
    </row>
    <row r="3428" spans="1:2">
      <c r="A3428">
        <v>3427</v>
      </c>
      <c r="B3428" s="2">
        <v>294.454833648403</v>
      </c>
    </row>
    <row r="3429" spans="1:2">
      <c r="A3429">
        <v>3428</v>
      </c>
      <c r="B3429" s="2">
        <v>286.43026850213971</v>
      </c>
    </row>
    <row r="3430" spans="1:2">
      <c r="A3430">
        <v>3429</v>
      </c>
      <c r="B3430" s="2">
        <v>303.29234986954776</v>
      </c>
    </row>
    <row r="3431" spans="1:2">
      <c r="A3431">
        <v>3430</v>
      </c>
      <c r="B3431" s="2">
        <v>300.21936914400681</v>
      </c>
    </row>
    <row r="3432" spans="1:2">
      <c r="A3432">
        <v>3431</v>
      </c>
      <c r="B3432" s="2">
        <v>255.98743229724582</v>
      </c>
    </row>
    <row r="3433" spans="1:2">
      <c r="A3433">
        <v>3432</v>
      </c>
      <c r="B3433" s="2">
        <v>440.27253611379984</v>
      </c>
    </row>
    <row r="3434" spans="1:2">
      <c r="A3434">
        <v>3433</v>
      </c>
      <c r="B3434" s="2">
        <v>381.84493557797907</v>
      </c>
    </row>
    <row r="3435" spans="1:2">
      <c r="A3435">
        <v>3434</v>
      </c>
      <c r="B3435" s="2">
        <v>417.98090932641389</v>
      </c>
    </row>
    <row r="3436" spans="1:2">
      <c r="A3436">
        <v>3435</v>
      </c>
      <c r="B3436" s="2">
        <v>263.89805112204044</v>
      </c>
    </row>
    <row r="3437" spans="1:2">
      <c r="A3437">
        <v>3436</v>
      </c>
      <c r="B3437" s="2">
        <v>332.61671385045116</v>
      </c>
    </row>
    <row r="3438" spans="1:2">
      <c r="A3438">
        <v>3437</v>
      </c>
      <c r="B3438" s="2">
        <v>407.51476063604844</v>
      </c>
    </row>
    <row r="3439" spans="1:2">
      <c r="A3439">
        <v>3438</v>
      </c>
      <c r="B3439" s="2">
        <v>466.87897044280078</v>
      </c>
    </row>
    <row r="3440" spans="1:2">
      <c r="A3440">
        <v>3439</v>
      </c>
      <c r="B3440" s="2">
        <v>447.88457430776089</v>
      </c>
    </row>
    <row r="3441" spans="1:2">
      <c r="A3441">
        <v>3440</v>
      </c>
      <c r="B3441" s="2">
        <v>341.68096492880443</v>
      </c>
    </row>
    <row r="3442" spans="1:2">
      <c r="A3442">
        <v>3441</v>
      </c>
      <c r="B3442" s="2">
        <v>401.28209906227687</v>
      </c>
    </row>
    <row r="3443" spans="1:2">
      <c r="A3443">
        <v>3442</v>
      </c>
      <c r="B3443" s="2">
        <v>298.63479165660488</v>
      </c>
    </row>
    <row r="3444" spans="1:2">
      <c r="A3444">
        <v>3443</v>
      </c>
      <c r="B3444" s="2">
        <v>433.83480071931234</v>
      </c>
    </row>
    <row r="3445" spans="1:2">
      <c r="A3445">
        <v>3444</v>
      </c>
      <c r="B3445" s="2">
        <v>395.52092684969563</v>
      </c>
    </row>
    <row r="3446" spans="1:2">
      <c r="A3446">
        <v>3445</v>
      </c>
      <c r="B3446" s="2">
        <v>461.084931638461</v>
      </c>
    </row>
    <row r="3447" spans="1:2">
      <c r="A3447">
        <v>3446</v>
      </c>
      <c r="B3447" s="2">
        <v>374.04718583652021</v>
      </c>
    </row>
    <row r="3448" spans="1:2">
      <c r="A3448">
        <v>3447</v>
      </c>
      <c r="B3448" s="2">
        <v>472.63930807395354</v>
      </c>
    </row>
    <row r="3449" spans="1:2">
      <c r="A3449">
        <v>3448</v>
      </c>
      <c r="B3449" s="2">
        <v>258.39991218655058</v>
      </c>
    </row>
    <row r="3450" spans="1:2">
      <c r="A3450">
        <v>3449</v>
      </c>
      <c r="B3450" s="2">
        <v>317.06006716937316</v>
      </c>
    </row>
    <row r="3451" spans="1:2">
      <c r="A3451">
        <v>3450</v>
      </c>
      <c r="B3451" s="2">
        <v>256.98216700964315</v>
      </c>
    </row>
    <row r="3452" spans="1:2">
      <c r="A3452">
        <v>3451</v>
      </c>
      <c r="B3452" s="2">
        <v>328.01363453008122</v>
      </c>
    </row>
    <row r="3453" spans="1:2">
      <c r="A3453">
        <v>3452</v>
      </c>
      <c r="B3453" s="2">
        <v>347.76690303011162</v>
      </c>
    </row>
    <row r="3454" spans="1:2">
      <c r="A3454">
        <v>3453</v>
      </c>
      <c r="B3454" s="2">
        <v>321.69854789721649</v>
      </c>
    </row>
    <row r="3455" spans="1:2">
      <c r="A3455">
        <v>3454</v>
      </c>
      <c r="B3455" s="2">
        <v>309.30272089186758</v>
      </c>
    </row>
    <row r="3456" spans="1:2">
      <c r="A3456">
        <v>3455</v>
      </c>
      <c r="B3456" s="2">
        <v>437.85088898959566</v>
      </c>
    </row>
    <row r="3457" spans="1:2">
      <c r="A3457">
        <v>3456</v>
      </c>
      <c r="B3457" s="2">
        <v>256.91451209768292</v>
      </c>
    </row>
    <row r="3458" spans="1:2">
      <c r="A3458">
        <v>3457</v>
      </c>
      <c r="B3458" s="2">
        <v>306.40248133481015</v>
      </c>
    </row>
    <row r="3459" spans="1:2">
      <c r="A3459">
        <v>3458</v>
      </c>
      <c r="B3459" s="2">
        <v>363.68873723075689</v>
      </c>
    </row>
    <row r="3460" spans="1:2">
      <c r="A3460">
        <v>3459</v>
      </c>
      <c r="B3460" s="2">
        <v>275.13582694334764</v>
      </c>
    </row>
    <row r="3461" spans="1:2">
      <c r="A3461">
        <v>3460</v>
      </c>
      <c r="B3461" s="2">
        <v>248.37522588400043</v>
      </c>
    </row>
    <row r="3462" spans="1:2">
      <c r="A3462">
        <v>3461</v>
      </c>
      <c r="B3462" s="2">
        <v>307.5465752481993</v>
      </c>
    </row>
    <row r="3463" spans="1:2">
      <c r="A3463">
        <v>3462</v>
      </c>
      <c r="B3463" s="2">
        <v>141.46379934072633</v>
      </c>
    </row>
    <row r="3464" spans="1:2">
      <c r="A3464">
        <v>3463</v>
      </c>
      <c r="B3464" s="2">
        <v>307.73014676477175</v>
      </c>
    </row>
    <row r="3465" spans="1:2">
      <c r="A3465">
        <v>3464</v>
      </c>
      <c r="B3465" s="2">
        <v>437.16511364936673</v>
      </c>
    </row>
    <row r="3466" spans="1:2">
      <c r="A3466">
        <v>3465</v>
      </c>
      <c r="B3466" s="2">
        <v>236.2192292952239</v>
      </c>
    </row>
    <row r="3467" spans="1:2">
      <c r="A3467">
        <v>3466</v>
      </c>
      <c r="B3467" s="2">
        <v>145.69049317019818</v>
      </c>
    </row>
    <row r="3468" spans="1:2">
      <c r="A3468">
        <v>3467</v>
      </c>
      <c r="B3468" s="2">
        <v>225.38437061955716</v>
      </c>
    </row>
    <row r="3469" spans="1:2">
      <c r="A3469">
        <v>3468</v>
      </c>
      <c r="B3469" s="2">
        <v>362.19591690371504</v>
      </c>
    </row>
    <row r="3470" spans="1:2">
      <c r="A3470">
        <v>3469</v>
      </c>
      <c r="B3470" s="2">
        <v>436.20258355764418</v>
      </c>
    </row>
    <row r="3471" spans="1:2">
      <c r="A3471">
        <v>3470</v>
      </c>
      <c r="B3471" s="2">
        <v>234.74852546540211</v>
      </c>
    </row>
    <row r="3472" spans="1:2">
      <c r="A3472">
        <v>3471</v>
      </c>
      <c r="B3472" s="2">
        <v>321.39696692946666</v>
      </c>
    </row>
    <row r="3473" spans="1:2">
      <c r="A3473">
        <v>3472</v>
      </c>
      <c r="B3473" s="2">
        <v>336.19378035420607</v>
      </c>
    </row>
    <row r="3474" spans="1:2">
      <c r="A3474">
        <v>3473</v>
      </c>
      <c r="B3474" s="2">
        <v>157.70629731926141</v>
      </c>
    </row>
    <row r="3475" spans="1:2">
      <c r="A3475">
        <v>3474</v>
      </c>
      <c r="B3475" s="2">
        <v>339.25856068504947</v>
      </c>
    </row>
    <row r="3476" spans="1:2">
      <c r="A3476">
        <v>3475</v>
      </c>
      <c r="B3476" s="2">
        <v>363.83537481502077</v>
      </c>
    </row>
    <row r="3477" spans="1:2">
      <c r="A3477">
        <v>3476</v>
      </c>
      <c r="B3477" s="2">
        <v>408.83649852001764</v>
      </c>
    </row>
    <row r="3478" spans="1:2">
      <c r="A3478">
        <v>3477</v>
      </c>
      <c r="B3478" s="2">
        <v>196.38869801221165</v>
      </c>
    </row>
    <row r="3479" spans="1:2">
      <c r="A3479">
        <v>3478</v>
      </c>
      <c r="B3479" s="2">
        <v>514.36225567394399</v>
      </c>
    </row>
    <row r="3480" spans="1:2">
      <c r="A3480">
        <v>3479</v>
      </c>
      <c r="B3480" s="2">
        <v>381.93897572986566</v>
      </c>
    </row>
    <row r="3481" spans="1:2">
      <c r="A3481">
        <v>3480</v>
      </c>
      <c r="B3481" s="2">
        <v>307.79415424000172</v>
      </c>
    </row>
    <row r="3482" spans="1:2">
      <c r="A3482">
        <v>3481</v>
      </c>
      <c r="B3482" s="2">
        <v>347.73356152053213</v>
      </c>
    </row>
    <row r="3483" spans="1:2">
      <c r="A3483">
        <v>3482</v>
      </c>
      <c r="B3483" s="2">
        <v>410.37306772105467</v>
      </c>
    </row>
    <row r="3484" spans="1:2">
      <c r="A3484">
        <v>3483</v>
      </c>
      <c r="B3484" s="2">
        <v>308.61166645953398</v>
      </c>
    </row>
    <row r="3485" spans="1:2">
      <c r="A3485">
        <v>3484</v>
      </c>
      <c r="B3485" s="2">
        <v>468.76240558624511</v>
      </c>
    </row>
    <row r="3486" spans="1:2">
      <c r="A3486">
        <v>3485</v>
      </c>
      <c r="B3486" s="2">
        <v>272.211304381052</v>
      </c>
    </row>
    <row r="3487" spans="1:2">
      <c r="A3487">
        <v>3486</v>
      </c>
      <c r="B3487" s="2">
        <v>348.18884181500931</v>
      </c>
    </row>
    <row r="3488" spans="1:2">
      <c r="A3488">
        <v>3487</v>
      </c>
      <c r="B3488" s="2">
        <v>125.69124972152601</v>
      </c>
    </row>
    <row r="3489" spans="1:2">
      <c r="A3489">
        <v>3488</v>
      </c>
      <c r="B3489" s="2">
        <v>196.12458386057591</v>
      </c>
    </row>
    <row r="3490" spans="1:2">
      <c r="A3490">
        <v>3489</v>
      </c>
      <c r="B3490" s="2">
        <v>284.03975536411741</v>
      </c>
    </row>
    <row r="3491" spans="1:2">
      <c r="A3491">
        <v>3490</v>
      </c>
      <c r="B3491" s="2">
        <v>356.28135772830598</v>
      </c>
    </row>
    <row r="3492" spans="1:2">
      <c r="A3492">
        <v>3491</v>
      </c>
      <c r="B3492" s="2">
        <v>328.78915779445811</v>
      </c>
    </row>
    <row r="3493" spans="1:2">
      <c r="A3493">
        <v>3492</v>
      </c>
      <c r="B3493" s="2">
        <v>378.85521418728536</v>
      </c>
    </row>
    <row r="3494" spans="1:2">
      <c r="A3494">
        <v>3493</v>
      </c>
      <c r="B3494" s="2">
        <v>323.50996722193395</v>
      </c>
    </row>
    <row r="3495" spans="1:2">
      <c r="A3495">
        <v>3494</v>
      </c>
      <c r="B3495" s="2">
        <v>370.37372277754395</v>
      </c>
    </row>
    <row r="3496" spans="1:2">
      <c r="A3496">
        <v>3495</v>
      </c>
      <c r="B3496" s="2">
        <v>369.47625047785755</v>
      </c>
    </row>
    <row r="3497" spans="1:2">
      <c r="A3497">
        <v>3496</v>
      </c>
      <c r="B3497" s="2">
        <v>370.50189002882126</v>
      </c>
    </row>
    <row r="3498" spans="1:2">
      <c r="A3498">
        <v>3497</v>
      </c>
      <c r="B3498" s="2">
        <v>251.96203569343231</v>
      </c>
    </row>
    <row r="3499" spans="1:2">
      <c r="A3499">
        <v>3498</v>
      </c>
      <c r="B3499" s="2">
        <v>442.78007089164907</v>
      </c>
    </row>
    <row r="3500" spans="1:2">
      <c r="A3500">
        <v>3499</v>
      </c>
      <c r="B3500" s="2">
        <v>288.86337129170886</v>
      </c>
    </row>
    <row r="3501" spans="1:2">
      <c r="A3501">
        <v>3500</v>
      </c>
      <c r="B3501" s="2">
        <v>216.00375396925352</v>
      </c>
    </row>
    <row r="3502" spans="1:2">
      <c r="A3502">
        <v>3501</v>
      </c>
      <c r="B3502" s="2">
        <v>404.07397805244278</v>
      </c>
    </row>
    <row r="3503" spans="1:2">
      <c r="A3503">
        <v>3502</v>
      </c>
      <c r="B3503" s="2">
        <v>260.2245388045099</v>
      </c>
    </row>
    <row r="3504" spans="1:2">
      <c r="A3504">
        <v>3503</v>
      </c>
      <c r="B3504" s="2">
        <v>397.81189049558247</v>
      </c>
    </row>
    <row r="3505" spans="1:2">
      <c r="A3505">
        <v>3504</v>
      </c>
      <c r="B3505" s="2">
        <v>321.11711247836274</v>
      </c>
    </row>
    <row r="3506" spans="1:2">
      <c r="A3506">
        <v>3505</v>
      </c>
      <c r="B3506" s="2">
        <v>273.18280169487684</v>
      </c>
    </row>
    <row r="3507" spans="1:2">
      <c r="A3507">
        <v>3506</v>
      </c>
      <c r="B3507" s="2">
        <v>464.59487437594242</v>
      </c>
    </row>
    <row r="3508" spans="1:2">
      <c r="A3508">
        <v>3507</v>
      </c>
      <c r="B3508" s="2">
        <v>397.21750569717153</v>
      </c>
    </row>
    <row r="3509" spans="1:2">
      <c r="A3509">
        <v>3508</v>
      </c>
      <c r="B3509" s="2">
        <v>350.66289508902787</v>
      </c>
    </row>
    <row r="3510" spans="1:2">
      <c r="A3510">
        <v>3509</v>
      </c>
      <c r="B3510" s="2">
        <v>394.86824008752126</v>
      </c>
    </row>
    <row r="3511" spans="1:2">
      <c r="A3511">
        <v>3510</v>
      </c>
      <c r="B3511" s="2">
        <v>227.09109537204219</v>
      </c>
    </row>
    <row r="3512" spans="1:2">
      <c r="A3512">
        <v>3511</v>
      </c>
      <c r="B3512" s="2">
        <v>385.73923759368199</v>
      </c>
    </row>
    <row r="3513" spans="1:2">
      <c r="A3513">
        <v>3512</v>
      </c>
      <c r="B3513" s="2">
        <v>294.10562804111078</v>
      </c>
    </row>
    <row r="3514" spans="1:2">
      <c r="A3514">
        <v>3513</v>
      </c>
      <c r="B3514" s="2">
        <v>337.2526472074718</v>
      </c>
    </row>
    <row r="3515" spans="1:2">
      <c r="A3515">
        <v>3514</v>
      </c>
      <c r="B3515" s="2">
        <v>351.59968812669183</v>
      </c>
    </row>
    <row r="3516" spans="1:2">
      <c r="A3516">
        <v>3515</v>
      </c>
      <c r="B3516" s="2">
        <v>310.72084497066635</v>
      </c>
    </row>
    <row r="3517" spans="1:2">
      <c r="A3517">
        <v>3516</v>
      </c>
      <c r="B3517" s="2">
        <v>444.28672444250213</v>
      </c>
    </row>
    <row r="3518" spans="1:2">
      <c r="A3518">
        <v>3517</v>
      </c>
      <c r="B3518" s="2">
        <v>421.1767370743961</v>
      </c>
    </row>
    <row r="3519" spans="1:2">
      <c r="A3519">
        <v>3518</v>
      </c>
      <c r="B3519" s="2">
        <v>527.17262424105036</v>
      </c>
    </row>
    <row r="3520" spans="1:2">
      <c r="A3520">
        <v>3519</v>
      </c>
      <c r="B3520" s="2">
        <v>323.02691022924898</v>
      </c>
    </row>
    <row r="3521" spans="1:2">
      <c r="A3521">
        <v>3520</v>
      </c>
      <c r="B3521" s="2">
        <v>426.57928975258949</v>
      </c>
    </row>
    <row r="3522" spans="1:2">
      <c r="A3522">
        <v>3521</v>
      </c>
      <c r="B3522" s="2">
        <v>260.23020642056787</v>
      </c>
    </row>
    <row r="3523" spans="1:2">
      <c r="A3523">
        <v>3522</v>
      </c>
      <c r="B3523" s="2">
        <v>468.70786782533878</v>
      </c>
    </row>
    <row r="3524" spans="1:2">
      <c r="A3524">
        <v>3523</v>
      </c>
      <c r="B3524" s="2">
        <v>433.03444647932179</v>
      </c>
    </row>
    <row r="3525" spans="1:2">
      <c r="A3525">
        <v>3524</v>
      </c>
      <c r="B3525" s="2">
        <v>172.53743105648192</v>
      </c>
    </row>
    <row r="3526" spans="1:2">
      <c r="A3526">
        <v>3525</v>
      </c>
      <c r="B3526" s="2">
        <v>396.9090286897133</v>
      </c>
    </row>
    <row r="3527" spans="1:2">
      <c r="A3527">
        <v>3526</v>
      </c>
      <c r="B3527" s="2">
        <v>443.64310674950411</v>
      </c>
    </row>
    <row r="3528" spans="1:2">
      <c r="A3528">
        <v>3527</v>
      </c>
      <c r="B3528" s="2">
        <v>287.65196149250283</v>
      </c>
    </row>
    <row r="3529" spans="1:2">
      <c r="A3529">
        <v>3528</v>
      </c>
      <c r="B3529" s="2">
        <v>495.44419338461853</v>
      </c>
    </row>
    <row r="3530" spans="1:2">
      <c r="A3530">
        <v>3529</v>
      </c>
      <c r="B3530" s="2">
        <v>262.10937617731662</v>
      </c>
    </row>
    <row r="3531" spans="1:2">
      <c r="A3531">
        <v>3530</v>
      </c>
      <c r="B3531" s="2">
        <v>209.98779566304682</v>
      </c>
    </row>
    <row r="3532" spans="1:2">
      <c r="A3532">
        <v>3531</v>
      </c>
      <c r="B3532" s="2">
        <v>366.71258972491876</v>
      </c>
    </row>
    <row r="3533" spans="1:2">
      <c r="A3533">
        <v>3532</v>
      </c>
      <c r="B3533" s="2">
        <v>336.21645729161844</v>
      </c>
    </row>
    <row r="3534" spans="1:2">
      <c r="A3534">
        <v>3533</v>
      </c>
      <c r="B3534" s="2">
        <v>382.44421701647002</v>
      </c>
    </row>
    <row r="3535" spans="1:2">
      <c r="A3535">
        <v>3534</v>
      </c>
      <c r="B3535" s="2">
        <v>273.03678149110675</v>
      </c>
    </row>
    <row r="3536" spans="1:2">
      <c r="A3536">
        <v>3535</v>
      </c>
      <c r="B3536" s="2">
        <v>237.61765135031004</v>
      </c>
    </row>
    <row r="3537" spans="1:2">
      <c r="A3537">
        <v>3536</v>
      </c>
      <c r="B3537" s="2">
        <v>465.18023768443476</v>
      </c>
    </row>
    <row r="3538" spans="1:2">
      <c r="A3538">
        <v>3537</v>
      </c>
      <c r="B3538" s="2">
        <v>457.79821298562575</v>
      </c>
    </row>
    <row r="3539" spans="1:2">
      <c r="A3539">
        <v>3538</v>
      </c>
      <c r="B3539" s="2">
        <v>466.13456480945717</v>
      </c>
    </row>
    <row r="3540" spans="1:2">
      <c r="A3540">
        <v>3539</v>
      </c>
      <c r="B3540" s="2">
        <v>129.66267386478677</v>
      </c>
    </row>
    <row r="3541" spans="1:2">
      <c r="A3541">
        <v>3540</v>
      </c>
      <c r="B3541" s="2">
        <v>300.5379501989438</v>
      </c>
    </row>
    <row r="3542" spans="1:2">
      <c r="A3542">
        <v>3541</v>
      </c>
      <c r="B3542" s="2">
        <v>238.60388568292583</v>
      </c>
    </row>
    <row r="3543" spans="1:2">
      <c r="A3543">
        <v>3542</v>
      </c>
      <c r="B3543" s="2">
        <v>533.61843189212755</v>
      </c>
    </row>
    <row r="3544" spans="1:2">
      <c r="A3544">
        <v>3543</v>
      </c>
      <c r="B3544" s="2">
        <v>353.17813899660717</v>
      </c>
    </row>
    <row r="3545" spans="1:2">
      <c r="A3545">
        <v>3544</v>
      </c>
      <c r="B3545" s="2">
        <v>279.15599776874387</v>
      </c>
    </row>
    <row r="3546" spans="1:2">
      <c r="A3546">
        <v>3545</v>
      </c>
      <c r="B3546" s="2">
        <v>231.09555021208166</v>
      </c>
    </row>
    <row r="3547" spans="1:2">
      <c r="A3547">
        <v>3546</v>
      </c>
      <c r="B3547" s="2">
        <v>434.92144221900548</v>
      </c>
    </row>
    <row r="3548" spans="1:2">
      <c r="A3548">
        <v>3547</v>
      </c>
      <c r="B3548" s="2">
        <v>476.25131682791152</v>
      </c>
    </row>
    <row r="3549" spans="1:2">
      <c r="A3549">
        <v>3548</v>
      </c>
      <c r="B3549" s="2">
        <v>439.66336620161837</v>
      </c>
    </row>
    <row r="3550" spans="1:2">
      <c r="A3550">
        <v>3549</v>
      </c>
      <c r="B3550" s="2">
        <v>222.14348595430266</v>
      </c>
    </row>
    <row r="3551" spans="1:2">
      <c r="A3551">
        <v>3550</v>
      </c>
      <c r="B3551" s="2">
        <v>360.06076754768651</v>
      </c>
    </row>
    <row r="3552" spans="1:2">
      <c r="A3552">
        <v>3551</v>
      </c>
      <c r="B3552" s="2">
        <v>370.37994563095754</v>
      </c>
    </row>
    <row r="3553" spans="1:2">
      <c r="A3553">
        <v>3552</v>
      </c>
      <c r="B3553" s="2">
        <v>410.52949936874677</v>
      </c>
    </row>
    <row r="3554" spans="1:2">
      <c r="A3554">
        <v>3553</v>
      </c>
      <c r="B3554" s="2">
        <v>376.35330867375546</v>
      </c>
    </row>
    <row r="3555" spans="1:2">
      <c r="A3555">
        <v>3554</v>
      </c>
      <c r="B3555" s="2">
        <v>401.06318554155388</v>
      </c>
    </row>
    <row r="3556" spans="1:2">
      <c r="A3556">
        <v>3555</v>
      </c>
      <c r="B3556" s="2">
        <v>317.56603454672921</v>
      </c>
    </row>
    <row r="3557" spans="1:2">
      <c r="A3557">
        <v>3556</v>
      </c>
      <c r="B3557" s="2">
        <v>335.29630757740131</v>
      </c>
    </row>
    <row r="3558" spans="1:2">
      <c r="A3558">
        <v>3557</v>
      </c>
      <c r="B3558" s="2">
        <v>438.70217320822712</v>
      </c>
    </row>
    <row r="3559" spans="1:2">
      <c r="A3559">
        <v>3558</v>
      </c>
      <c r="B3559" s="2">
        <v>316.52289847122103</v>
      </c>
    </row>
    <row r="3560" spans="1:2">
      <c r="A3560">
        <v>3559</v>
      </c>
      <c r="B3560" s="2">
        <v>352.17338029643321</v>
      </c>
    </row>
    <row r="3561" spans="1:2">
      <c r="A3561">
        <v>3560</v>
      </c>
      <c r="B3561" s="2">
        <v>409.92851861488111</v>
      </c>
    </row>
    <row r="3562" spans="1:2">
      <c r="A3562">
        <v>3561</v>
      </c>
      <c r="B3562" s="2">
        <v>261.17250818507858</v>
      </c>
    </row>
    <row r="3563" spans="1:2">
      <c r="A3563">
        <v>3562</v>
      </c>
      <c r="B3563" s="2">
        <v>233.0627255318885</v>
      </c>
    </row>
    <row r="3564" spans="1:2">
      <c r="A3564">
        <v>3563</v>
      </c>
      <c r="B3564" s="2">
        <v>342.89821794825122</v>
      </c>
    </row>
    <row r="3565" spans="1:2">
      <c r="A3565">
        <v>3564</v>
      </c>
      <c r="B3565" s="2">
        <v>314.00408851957172</v>
      </c>
    </row>
    <row r="3566" spans="1:2">
      <c r="A3566">
        <v>3565</v>
      </c>
      <c r="B3566" s="2">
        <v>382.58455380902484</v>
      </c>
    </row>
    <row r="3567" spans="1:2">
      <c r="A3567">
        <v>3566</v>
      </c>
      <c r="B3567" s="2">
        <v>388.92581705868548</v>
      </c>
    </row>
    <row r="3568" spans="1:2">
      <c r="A3568">
        <v>3567</v>
      </c>
      <c r="B3568" s="2">
        <v>476.60798341015925</v>
      </c>
    </row>
    <row r="3569" spans="1:2">
      <c r="A3569">
        <v>3568</v>
      </c>
      <c r="B3569" s="2">
        <v>295.17093750239303</v>
      </c>
    </row>
    <row r="3570" spans="1:2">
      <c r="A3570">
        <v>3569</v>
      </c>
      <c r="B3570" s="2">
        <v>383.58293557026184</v>
      </c>
    </row>
    <row r="3571" spans="1:2">
      <c r="A3571">
        <v>3570</v>
      </c>
      <c r="B3571" s="2">
        <v>227.52127163657508</v>
      </c>
    </row>
    <row r="3572" spans="1:2">
      <c r="A3572">
        <v>3571</v>
      </c>
      <c r="B3572" s="2">
        <v>98.703326778025826</v>
      </c>
    </row>
    <row r="3573" spans="1:2">
      <c r="A3573">
        <v>3572</v>
      </c>
      <c r="B3573" s="2">
        <v>327.26882828108063</v>
      </c>
    </row>
    <row r="3574" spans="1:2">
      <c r="A3574">
        <v>3573</v>
      </c>
      <c r="B3574" s="2">
        <v>254.53068231598149</v>
      </c>
    </row>
    <row r="3575" spans="1:2">
      <c r="A3575">
        <v>3574</v>
      </c>
      <c r="B3575" s="2">
        <v>445.444092886997</v>
      </c>
    </row>
    <row r="3576" spans="1:2">
      <c r="A3576">
        <v>3575</v>
      </c>
      <c r="B3576" s="2">
        <v>372.42282869069516</v>
      </c>
    </row>
    <row r="3577" spans="1:2">
      <c r="A3577">
        <v>3576</v>
      </c>
      <c r="B3577" s="2">
        <v>236.46823988329476</v>
      </c>
    </row>
    <row r="3578" spans="1:2">
      <c r="A3578">
        <v>3577</v>
      </c>
      <c r="B3578" s="2">
        <v>370.28960317370468</v>
      </c>
    </row>
    <row r="3579" spans="1:2">
      <c r="A3579">
        <v>3578</v>
      </c>
      <c r="B3579" s="2">
        <v>326.48526765410122</v>
      </c>
    </row>
    <row r="3580" spans="1:2">
      <c r="A3580">
        <v>3579</v>
      </c>
      <c r="B3580" s="2">
        <v>367.65531897793721</v>
      </c>
    </row>
    <row r="3581" spans="1:2">
      <c r="A3581">
        <v>3580</v>
      </c>
      <c r="B3581" s="2">
        <v>164.19013440237595</v>
      </c>
    </row>
    <row r="3582" spans="1:2">
      <c r="A3582">
        <v>3581</v>
      </c>
      <c r="B3582" s="2">
        <v>369.87035900021147</v>
      </c>
    </row>
    <row r="3583" spans="1:2">
      <c r="A3583">
        <v>3582</v>
      </c>
      <c r="B3583" s="2">
        <v>310.03287552717813</v>
      </c>
    </row>
    <row r="3584" spans="1:2">
      <c r="A3584">
        <v>3583</v>
      </c>
      <c r="B3584" s="2">
        <v>334.16250332859204</v>
      </c>
    </row>
    <row r="3585" spans="1:2">
      <c r="A3585">
        <v>3584</v>
      </c>
      <c r="B3585" s="2">
        <v>255.71497822575151</v>
      </c>
    </row>
    <row r="3586" spans="1:2">
      <c r="A3586">
        <v>3585</v>
      </c>
      <c r="B3586" s="2">
        <v>254.06839670524749</v>
      </c>
    </row>
    <row r="3587" spans="1:2">
      <c r="A3587">
        <v>3586</v>
      </c>
      <c r="B3587" s="2">
        <v>348.284385292872</v>
      </c>
    </row>
    <row r="3588" spans="1:2">
      <c r="A3588">
        <v>3587</v>
      </c>
      <c r="B3588" s="2">
        <v>226.12208476048158</v>
      </c>
    </row>
    <row r="3589" spans="1:2">
      <c r="A3589">
        <v>3588</v>
      </c>
      <c r="B3589" s="2">
        <v>411.30593473871113</v>
      </c>
    </row>
    <row r="3590" spans="1:2">
      <c r="A3590">
        <v>3589</v>
      </c>
      <c r="B3590" s="2">
        <v>461.77019248579296</v>
      </c>
    </row>
    <row r="3591" spans="1:2">
      <c r="A3591">
        <v>3590</v>
      </c>
      <c r="B3591" s="2">
        <v>307.47047066575658</v>
      </c>
    </row>
    <row r="3592" spans="1:2">
      <c r="A3592">
        <v>3591</v>
      </c>
      <c r="B3592" s="2">
        <v>417.60740899518612</v>
      </c>
    </row>
    <row r="3593" spans="1:2">
      <c r="A3593">
        <v>3592</v>
      </c>
      <c r="B3593" s="2">
        <v>289.56878411400527</v>
      </c>
    </row>
    <row r="3594" spans="1:2">
      <c r="A3594">
        <v>3593</v>
      </c>
      <c r="B3594" s="2">
        <v>347.84027061889503</v>
      </c>
    </row>
    <row r="3595" spans="1:2">
      <c r="A3595">
        <v>3594</v>
      </c>
      <c r="B3595" s="2">
        <v>320.41985807012259</v>
      </c>
    </row>
    <row r="3596" spans="1:2">
      <c r="A3596">
        <v>3595</v>
      </c>
      <c r="B3596" s="2">
        <v>411.45826838139646</v>
      </c>
    </row>
    <row r="3597" spans="1:2">
      <c r="A3597">
        <v>3596</v>
      </c>
      <c r="B3597" s="2">
        <v>274.99177293961378</v>
      </c>
    </row>
    <row r="3598" spans="1:2">
      <c r="A3598">
        <v>3597</v>
      </c>
      <c r="B3598" s="2">
        <v>476.50993770060086</v>
      </c>
    </row>
    <row r="3599" spans="1:2">
      <c r="A3599">
        <v>3598</v>
      </c>
      <c r="B3599" s="2">
        <v>255.37404598551092</v>
      </c>
    </row>
    <row r="3600" spans="1:2">
      <c r="A3600">
        <v>3599</v>
      </c>
      <c r="B3600" s="2">
        <v>331.06358461353324</v>
      </c>
    </row>
    <row r="3601" spans="1:2">
      <c r="A3601">
        <v>3600</v>
      </c>
      <c r="B3601" s="2">
        <v>293.30217536888659</v>
      </c>
    </row>
    <row r="3602" spans="1:2">
      <c r="A3602">
        <v>3601</v>
      </c>
      <c r="B3602" s="2">
        <v>247.50335289375715</v>
      </c>
    </row>
    <row r="3603" spans="1:2">
      <c r="A3603">
        <v>3602</v>
      </c>
      <c r="B3603" s="2">
        <v>360.95864092992343</v>
      </c>
    </row>
    <row r="3604" spans="1:2">
      <c r="A3604">
        <v>3603</v>
      </c>
      <c r="B3604" s="2">
        <v>399.86751977686373</v>
      </c>
    </row>
    <row r="3605" spans="1:2">
      <c r="A3605">
        <v>3604</v>
      </c>
      <c r="B3605" s="2">
        <v>346.38973078923465</v>
      </c>
    </row>
    <row r="3606" spans="1:2">
      <c r="A3606">
        <v>3605</v>
      </c>
      <c r="B3606" s="2">
        <v>421.07156123700076</v>
      </c>
    </row>
    <row r="3607" spans="1:2">
      <c r="A3607">
        <v>3606</v>
      </c>
      <c r="B3607" s="2">
        <v>293.38110216101927</v>
      </c>
    </row>
    <row r="3608" spans="1:2">
      <c r="A3608">
        <v>3607</v>
      </c>
      <c r="B3608" s="2">
        <v>476.36116846114192</v>
      </c>
    </row>
    <row r="3609" spans="1:2">
      <c r="A3609">
        <v>3608</v>
      </c>
      <c r="B3609" s="2">
        <v>352.27597519486108</v>
      </c>
    </row>
    <row r="3610" spans="1:2">
      <c r="A3610">
        <v>3609</v>
      </c>
      <c r="B3610" s="2">
        <v>278.5341093912607</v>
      </c>
    </row>
    <row r="3611" spans="1:2">
      <c r="A3611">
        <v>3610</v>
      </c>
      <c r="B3611" s="2">
        <v>480.76094405556898</v>
      </c>
    </row>
    <row r="3612" spans="1:2">
      <c r="A3612">
        <v>3611</v>
      </c>
      <c r="B3612" s="2">
        <v>262.06604884053149</v>
      </c>
    </row>
    <row r="3613" spans="1:2">
      <c r="A3613">
        <v>3612</v>
      </c>
      <c r="B3613" s="2">
        <v>280.78369783594843</v>
      </c>
    </row>
    <row r="3614" spans="1:2">
      <c r="A3614">
        <v>3613</v>
      </c>
      <c r="B3614" s="2">
        <v>309.38952741882713</v>
      </c>
    </row>
    <row r="3615" spans="1:2">
      <c r="A3615">
        <v>3614</v>
      </c>
      <c r="B3615" s="2">
        <v>256.93722852963015</v>
      </c>
    </row>
    <row r="3616" spans="1:2">
      <c r="A3616">
        <v>3615</v>
      </c>
      <c r="B3616" s="2">
        <v>385.70849675750151</v>
      </c>
    </row>
    <row r="3617" spans="1:2">
      <c r="A3617">
        <v>3616</v>
      </c>
      <c r="B3617" s="2">
        <v>435.7845096184974</v>
      </c>
    </row>
    <row r="3618" spans="1:2">
      <c r="A3618">
        <v>3617</v>
      </c>
      <c r="B3618" s="2">
        <v>307.08476724839591</v>
      </c>
    </row>
    <row r="3619" spans="1:2">
      <c r="A3619">
        <v>3618</v>
      </c>
      <c r="B3619" s="2">
        <v>399.14902176763201</v>
      </c>
    </row>
    <row r="3620" spans="1:2">
      <c r="A3620">
        <v>3619</v>
      </c>
      <c r="B3620" s="2">
        <v>425.80771392677048</v>
      </c>
    </row>
    <row r="3621" spans="1:2">
      <c r="A3621">
        <v>3620</v>
      </c>
      <c r="B3621" s="2">
        <v>378.67153645780638</v>
      </c>
    </row>
    <row r="3622" spans="1:2">
      <c r="A3622">
        <v>3621</v>
      </c>
      <c r="B3622" s="2">
        <v>120.96071155976989</v>
      </c>
    </row>
    <row r="3623" spans="1:2">
      <c r="A3623">
        <v>3622</v>
      </c>
      <c r="B3623" s="2">
        <v>202.00958990340519</v>
      </c>
    </row>
    <row r="3624" spans="1:2">
      <c r="A3624">
        <v>3623</v>
      </c>
      <c r="B3624" s="2">
        <v>244.17820600314482</v>
      </c>
    </row>
    <row r="3625" spans="1:2">
      <c r="A3625">
        <v>3624</v>
      </c>
      <c r="B3625" s="2">
        <v>291.54861495378663</v>
      </c>
    </row>
    <row r="3626" spans="1:2">
      <c r="A3626">
        <v>3625</v>
      </c>
      <c r="B3626" s="2">
        <v>305.02112466522391</v>
      </c>
    </row>
    <row r="3627" spans="1:2">
      <c r="A3627">
        <v>3626</v>
      </c>
      <c r="B3627" s="2">
        <v>223.41410522902189</v>
      </c>
    </row>
    <row r="3628" spans="1:2">
      <c r="A3628">
        <v>3627</v>
      </c>
      <c r="B3628" s="2">
        <v>310.68693355315492</v>
      </c>
    </row>
    <row r="3629" spans="1:2">
      <c r="A3629">
        <v>3628</v>
      </c>
      <c r="B3629" s="2">
        <v>324.01881409039424</v>
      </c>
    </row>
    <row r="3630" spans="1:2">
      <c r="A3630">
        <v>3629</v>
      </c>
      <c r="B3630" s="2">
        <v>445.02915115521989</v>
      </c>
    </row>
    <row r="3631" spans="1:2">
      <c r="A3631">
        <v>3630</v>
      </c>
      <c r="B3631" s="2">
        <v>320.04332679847226</v>
      </c>
    </row>
    <row r="3632" spans="1:2">
      <c r="A3632">
        <v>3631</v>
      </c>
      <c r="B3632" s="2">
        <v>155.68259459893426</v>
      </c>
    </row>
    <row r="3633" spans="1:2">
      <c r="A3633">
        <v>3632</v>
      </c>
      <c r="B3633" s="2">
        <v>433.64503715946489</v>
      </c>
    </row>
    <row r="3634" spans="1:2">
      <c r="A3634">
        <v>3633</v>
      </c>
      <c r="B3634" s="2">
        <v>431.62584686787352</v>
      </c>
    </row>
    <row r="3635" spans="1:2">
      <c r="A3635">
        <v>3634</v>
      </c>
      <c r="B3635" s="2">
        <v>411.95399942308052</v>
      </c>
    </row>
    <row r="3636" spans="1:2">
      <c r="A3636">
        <v>3635</v>
      </c>
      <c r="B3636" s="2">
        <v>345.58401101380332</v>
      </c>
    </row>
    <row r="3637" spans="1:2">
      <c r="A3637">
        <v>3636</v>
      </c>
      <c r="B3637" s="2">
        <v>275.08348736231437</v>
      </c>
    </row>
    <row r="3638" spans="1:2">
      <c r="A3638">
        <v>3637</v>
      </c>
      <c r="B3638" s="2">
        <v>481.58602076405214</v>
      </c>
    </row>
    <row r="3639" spans="1:2">
      <c r="A3639">
        <v>3638</v>
      </c>
      <c r="B3639" s="2">
        <v>407.22807202248134</v>
      </c>
    </row>
    <row r="3640" spans="1:2">
      <c r="A3640">
        <v>3639</v>
      </c>
      <c r="B3640" s="2">
        <v>382.05203813890404</v>
      </c>
    </row>
    <row r="3641" spans="1:2">
      <c r="A3641">
        <v>3640</v>
      </c>
      <c r="B3641" s="2">
        <v>339.20644565015232</v>
      </c>
    </row>
    <row r="3642" spans="1:2">
      <c r="A3642">
        <v>3641</v>
      </c>
      <c r="B3642" s="2">
        <v>331.29259294318177</v>
      </c>
    </row>
    <row r="3643" spans="1:2">
      <c r="A3643">
        <v>3642</v>
      </c>
      <c r="B3643" s="2">
        <v>387.32863608953176</v>
      </c>
    </row>
    <row r="3644" spans="1:2">
      <c r="A3644">
        <v>3643</v>
      </c>
      <c r="B3644" s="2">
        <v>251.07152812643858</v>
      </c>
    </row>
    <row r="3645" spans="1:2">
      <c r="A3645">
        <v>3644</v>
      </c>
      <c r="B3645" s="2">
        <v>329.40426667255184</v>
      </c>
    </row>
    <row r="3646" spans="1:2">
      <c r="A3646">
        <v>3645</v>
      </c>
      <c r="B3646" s="2">
        <v>331.742017484592</v>
      </c>
    </row>
    <row r="3647" spans="1:2">
      <c r="A3647">
        <v>3646</v>
      </c>
      <c r="B3647" s="2">
        <v>354.94461386804306</v>
      </c>
    </row>
    <row r="3648" spans="1:2">
      <c r="A3648">
        <v>3647</v>
      </c>
      <c r="B3648" s="2">
        <v>259.9024940834837</v>
      </c>
    </row>
    <row r="3649" spans="1:2">
      <c r="A3649">
        <v>3648</v>
      </c>
      <c r="B3649" s="2">
        <v>349.83318149821048</v>
      </c>
    </row>
    <row r="3650" spans="1:2">
      <c r="A3650">
        <v>3649</v>
      </c>
      <c r="B3650" s="2">
        <v>426.36824846643157</v>
      </c>
    </row>
    <row r="3651" spans="1:2">
      <c r="A3651">
        <v>3650</v>
      </c>
      <c r="B3651" s="2">
        <v>423.2235085244036</v>
      </c>
    </row>
    <row r="3652" spans="1:2">
      <c r="A3652">
        <v>3651</v>
      </c>
      <c r="B3652" s="2">
        <v>461.3597187197978</v>
      </c>
    </row>
    <row r="3653" spans="1:2">
      <c r="A3653">
        <v>3652</v>
      </c>
      <c r="B3653" s="2">
        <v>360.48913621767088</v>
      </c>
    </row>
    <row r="3654" spans="1:2">
      <c r="A3654">
        <v>3653</v>
      </c>
      <c r="B3654" s="2">
        <v>409.7575322054347</v>
      </c>
    </row>
    <row r="3655" spans="1:2">
      <c r="A3655">
        <v>3654</v>
      </c>
      <c r="B3655" s="2">
        <v>550.73747472335583</v>
      </c>
    </row>
    <row r="3656" spans="1:2">
      <c r="A3656">
        <v>3655</v>
      </c>
      <c r="B3656" s="2">
        <v>469.19198508781602</v>
      </c>
    </row>
    <row r="3657" spans="1:2">
      <c r="A3657">
        <v>3656</v>
      </c>
      <c r="B3657" s="2">
        <v>279.1100800966953</v>
      </c>
    </row>
    <row r="3658" spans="1:2">
      <c r="A3658">
        <v>3657</v>
      </c>
      <c r="B3658" s="2">
        <v>328.42962834706293</v>
      </c>
    </row>
    <row r="3659" spans="1:2">
      <c r="A3659">
        <v>3658</v>
      </c>
      <c r="B3659" s="2">
        <v>365.28211203668036</v>
      </c>
    </row>
    <row r="3660" spans="1:2">
      <c r="A3660">
        <v>3659</v>
      </c>
      <c r="B3660" s="2">
        <v>200.52301471883823</v>
      </c>
    </row>
    <row r="3661" spans="1:2">
      <c r="A3661">
        <v>3660</v>
      </c>
      <c r="B3661" s="2">
        <v>223.84990440935439</v>
      </c>
    </row>
    <row r="3662" spans="1:2">
      <c r="A3662">
        <v>3661</v>
      </c>
      <c r="B3662" s="2">
        <v>245.2857907984733</v>
      </c>
    </row>
    <row r="3663" spans="1:2">
      <c r="A3663">
        <v>3662</v>
      </c>
      <c r="B3663" s="2">
        <v>433.97610407288653</v>
      </c>
    </row>
    <row r="3664" spans="1:2">
      <c r="A3664">
        <v>3663</v>
      </c>
      <c r="B3664" s="2">
        <v>333.33619170806389</v>
      </c>
    </row>
    <row r="3665" spans="1:2">
      <c r="A3665">
        <v>3664</v>
      </c>
      <c r="B3665" s="2">
        <v>379.59588862596388</v>
      </c>
    </row>
    <row r="3666" spans="1:2">
      <c r="A3666">
        <v>3665</v>
      </c>
      <c r="B3666" s="2">
        <v>157.86744342483061</v>
      </c>
    </row>
    <row r="3667" spans="1:2">
      <c r="A3667">
        <v>3666</v>
      </c>
      <c r="B3667" s="2">
        <v>300.32374835648625</v>
      </c>
    </row>
    <row r="3668" spans="1:2">
      <c r="A3668">
        <v>3667</v>
      </c>
      <c r="B3668" s="2">
        <v>369.67431596582765</v>
      </c>
    </row>
    <row r="3669" spans="1:2">
      <c r="A3669">
        <v>3668</v>
      </c>
      <c r="B3669" s="2">
        <v>234.99050550292361</v>
      </c>
    </row>
    <row r="3670" spans="1:2">
      <c r="A3670">
        <v>3669</v>
      </c>
      <c r="B3670" s="2">
        <v>398.44289525705449</v>
      </c>
    </row>
    <row r="3671" spans="1:2">
      <c r="A3671">
        <v>3670</v>
      </c>
      <c r="B3671" s="2">
        <v>388.78448180329082</v>
      </c>
    </row>
    <row r="3672" spans="1:2">
      <c r="A3672">
        <v>3671</v>
      </c>
      <c r="B3672" s="2">
        <v>389.51737710416785</v>
      </c>
    </row>
    <row r="3673" spans="1:2">
      <c r="A3673">
        <v>3672</v>
      </c>
      <c r="B3673" s="2">
        <v>380.21510397385128</v>
      </c>
    </row>
    <row r="3674" spans="1:2">
      <c r="A3674">
        <v>3673</v>
      </c>
      <c r="B3674" s="2">
        <v>338.20959225463662</v>
      </c>
    </row>
    <row r="3675" spans="1:2">
      <c r="A3675">
        <v>3674</v>
      </c>
      <c r="B3675" s="2">
        <v>251.1457023782915</v>
      </c>
    </row>
    <row r="3676" spans="1:2">
      <c r="A3676">
        <v>3675</v>
      </c>
      <c r="B3676" s="2">
        <v>313.29164152485095</v>
      </c>
    </row>
    <row r="3677" spans="1:2">
      <c r="A3677">
        <v>3676</v>
      </c>
      <c r="B3677" s="2">
        <v>303.89085293707353</v>
      </c>
    </row>
    <row r="3678" spans="1:2">
      <c r="A3678">
        <v>3677</v>
      </c>
      <c r="B3678" s="2">
        <v>272.49173510148813</v>
      </c>
    </row>
    <row r="3679" spans="1:2">
      <c r="A3679">
        <v>3678</v>
      </c>
      <c r="B3679" s="2">
        <v>393.57874132880988</v>
      </c>
    </row>
    <row r="3680" spans="1:2">
      <c r="A3680">
        <v>3679</v>
      </c>
      <c r="B3680" s="2">
        <v>341.05384804837502</v>
      </c>
    </row>
    <row r="3681" spans="1:2">
      <c r="A3681">
        <v>3680</v>
      </c>
      <c r="B3681" s="2">
        <v>343.43331471829742</v>
      </c>
    </row>
    <row r="3682" spans="1:2">
      <c r="A3682">
        <v>3681</v>
      </c>
      <c r="B3682" s="2">
        <v>332.42584570502981</v>
      </c>
    </row>
    <row r="3683" spans="1:2">
      <c r="A3683">
        <v>3682</v>
      </c>
      <c r="B3683" s="2">
        <v>310.6089182440794</v>
      </c>
    </row>
    <row r="3684" spans="1:2">
      <c r="A3684">
        <v>3683</v>
      </c>
      <c r="B3684" s="2">
        <v>343.22720401393622</v>
      </c>
    </row>
    <row r="3685" spans="1:2">
      <c r="A3685">
        <v>3684</v>
      </c>
      <c r="B3685" s="2">
        <v>327.3244671676066</v>
      </c>
    </row>
    <row r="3686" spans="1:2">
      <c r="A3686">
        <v>3685</v>
      </c>
      <c r="B3686" s="2">
        <v>307.50610223929243</v>
      </c>
    </row>
    <row r="3687" spans="1:2">
      <c r="A3687">
        <v>3686</v>
      </c>
      <c r="B3687" s="2">
        <v>354.3405690078971</v>
      </c>
    </row>
    <row r="3688" spans="1:2">
      <c r="A3688">
        <v>3687</v>
      </c>
      <c r="B3688" s="2">
        <v>380.87528922245735</v>
      </c>
    </row>
    <row r="3689" spans="1:2">
      <c r="A3689">
        <v>3688</v>
      </c>
      <c r="B3689" s="2">
        <v>410.95881954861068</v>
      </c>
    </row>
    <row r="3690" spans="1:2">
      <c r="A3690">
        <v>3689</v>
      </c>
      <c r="B3690" s="2">
        <v>345.57747371699492</v>
      </c>
    </row>
    <row r="3691" spans="1:2">
      <c r="A3691">
        <v>3690</v>
      </c>
      <c r="B3691" s="2">
        <v>341.31782801550037</v>
      </c>
    </row>
    <row r="3692" spans="1:2">
      <c r="A3692">
        <v>3691</v>
      </c>
      <c r="B3692" s="2">
        <v>489.15610992284667</v>
      </c>
    </row>
    <row r="3693" spans="1:2">
      <c r="A3693">
        <v>3692</v>
      </c>
      <c r="B3693" s="2">
        <v>339.93894796729819</v>
      </c>
    </row>
    <row r="3694" spans="1:2">
      <c r="A3694">
        <v>3693</v>
      </c>
      <c r="B3694" s="2">
        <v>318.24612093697419</v>
      </c>
    </row>
    <row r="3695" spans="1:2">
      <c r="A3695">
        <v>3694</v>
      </c>
      <c r="B3695" s="2">
        <v>420.86177366483798</v>
      </c>
    </row>
    <row r="3696" spans="1:2">
      <c r="A3696">
        <v>3695</v>
      </c>
      <c r="B3696" s="2">
        <v>293.4389410672041</v>
      </c>
    </row>
    <row r="3697" spans="1:2">
      <c r="A3697">
        <v>3696</v>
      </c>
      <c r="B3697" s="2">
        <v>419.13548427381102</v>
      </c>
    </row>
    <row r="3698" spans="1:2">
      <c r="A3698">
        <v>3697</v>
      </c>
      <c r="B3698" s="2">
        <v>242.49646764825323</v>
      </c>
    </row>
    <row r="3699" spans="1:2">
      <c r="A3699">
        <v>3698</v>
      </c>
      <c r="B3699" s="2">
        <v>625.74828573435536</v>
      </c>
    </row>
    <row r="3700" spans="1:2">
      <c r="A3700">
        <v>3699</v>
      </c>
      <c r="B3700" s="2">
        <v>453.81220883654663</v>
      </c>
    </row>
    <row r="3701" spans="1:2">
      <c r="A3701">
        <v>3700</v>
      </c>
      <c r="B3701" s="2">
        <v>355.26499363570559</v>
      </c>
    </row>
    <row r="3702" spans="1:2">
      <c r="A3702">
        <v>3701</v>
      </c>
      <c r="B3702" s="2">
        <v>198.96495043525275</v>
      </c>
    </row>
    <row r="3703" spans="1:2">
      <c r="A3703">
        <v>3702</v>
      </c>
      <c r="B3703" s="2">
        <v>350.11618849963747</v>
      </c>
    </row>
    <row r="3704" spans="1:2">
      <c r="A3704">
        <v>3703</v>
      </c>
      <c r="B3704" s="2">
        <v>348.49419408817465</v>
      </c>
    </row>
    <row r="3705" spans="1:2">
      <c r="A3705">
        <v>3704</v>
      </c>
      <c r="B3705" s="2">
        <v>227.41065392283963</v>
      </c>
    </row>
    <row r="3706" spans="1:2">
      <c r="A3706">
        <v>3705</v>
      </c>
      <c r="B3706" s="2">
        <v>359.85436605934717</v>
      </c>
    </row>
    <row r="3707" spans="1:2">
      <c r="A3707">
        <v>3706</v>
      </c>
      <c r="B3707" s="2">
        <v>378.00946116508271</v>
      </c>
    </row>
    <row r="3708" spans="1:2">
      <c r="A3708">
        <v>3707</v>
      </c>
      <c r="B3708" s="2">
        <v>359.91033781128181</v>
      </c>
    </row>
    <row r="3709" spans="1:2">
      <c r="A3709">
        <v>3708</v>
      </c>
      <c r="B3709" s="2">
        <v>334.55331734049395</v>
      </c>
    </row>
    <row r="3710" spans="1:2">
      <c r="A3710">
        <v>3709</v>
      </c>
      <c r="B3710" s="2">
        <v>294.34944939817302</v>
      </c>
    </row>
    <row r="3711" spans="1:2">
      <c r="A3711">
        <v>3710</v>
      </c>
      <c r="B3711" s="2">
        <v>416.95126271900398</v>
      </c>
    </row>
    <row r="3712" spans="1:2">
      <c r="A3712">
        <v>3711</v>
      </c>
      <c r="B3712" s="2">
        <v>372.96897159978357</v>
      </c>
    </row>
    <row r="3713" spans="1:2">
      <c r="A3713">
        <v>3712</v>
      </c>
      <c r="B3713" s="2">
        <v>262.03576261065592</v>
      </c>
    </row>
    <row r="3714" spans="1:2">
      <c r="A3714">
        <v>3713</v>
      </c>
      <c r="B3714" s="2">
        <v>256.09041980438246</v>
      </c>
    </row>
    <row r="3715" spans="1:2">
      <c r="A3715">
        <v>3714</v>
      </c>
      <c r="B3715" s="2">
        <v>424.13629780526952</v>
      </c>
    </row>
    <row r="3716" spans="1:2">
      <c r="A3716">
        <v>3715</v>
      </c>
      <c r="B3716" s="2">
        <v>461.18132557518697</v>
      </c>
    </row>
    <row r="3717" spans="1:2">
      <c r="A3717">
        <v>3716</v>
      </c>
      <c r="B3717" s="2">
        <v>325.03916449537655</v>
      </c>
    </row>
    <row r="3718" spans="1:2">
      <c r="A3718">
        <v>3717</v>
      </c>
      <c r="B3718" s="2">
        <v>351.72463118248936</v>
      </c>
    </row>
    <row r="3719" spans="1:2">
      <c r="A3719">
        <v>3718</v>
      </c>
      <c r="B3719" s="2">
        <v>308.39539345961896</v>
      </c>
    </row>
    <row r="3720" spans="1:2">
      <c r="A3720">
        <v>3719</v>
      </c>
      <c r="B3720" s="2">
        <v>350.53600747739517</v>
      </c>
    </row>
    <row r="3721" spans="1:2">
      <c r="A3721">
        <v>3720</v>
      </c>
      <c r="B3721" s="2">
        <v>331.83377451985177</v>
      </c>
    </row>
    <row r="3722" spans="1:2">
      <c r="A3722">
        <v>3721</v>
      </c>
      <c r="B3722" s="2">
        <v>335.16313123324875</v>
      </c>
    </row>
    <row r="3723" spans="1:2">
      <c r="A3723">
        <v>3722</v>
      </c>
      <c r="B3723" s="2">
        <v>385.54736292698931</v>
      </c>
    </row>
    <row r="3724" spans="1:2">
      <c r="A3724">
        <v>3723</v>
      </c>
      <c r="B3724" s="2">
        <v>384.40935465298361</v>
      </c>
    </row>
    <row r="3725" spans="1:2">
      <c r="A3725">
        <v>3724</v>
      </c>
      <c r="B3725" s="2">
        <v>216.82666254346654</v>
      </c>
    </row>
    <row r="3726" spans="1:2">
      <c r="A3726">
        <v>3725</v>
      </c>
      <c r="B3726" s="2">
        <v>418.65676318056683</v>
      </c>
    </row>
    <row r="3727" spans="1:2">
      <c r="A3727">
        <v>3726</v>
      </c>
      <c r="B3727" s="2">
        <v>231.98682119355877</v>
      </c>
    </row>
    <row r="3728" spans="1:2">
      <c r="A3728">
        <v>3727</v>
      </c>
      <c r="B3728" s="2">
        <v>415.15700967289479</v>
      </c>
    </row>
    <row r="3729" spans="1:2">
      <c r="A3729">
        <v>3728</v>
      </c>
      <c r="B3729" s="2">
        <v>209.81006201547257</v>
      </c>
    </row>
    <row r="3730" spans="1:2">
      <c r="A3730">
        <v>3729</v>
      </c>
      <c r="B3730" s="2">
        <v>355.21076283044005</v>
      </c>
    </row>
    <row r="3731" spans="1:2">
      <c r="A3731">
        <v>3730</v>
      </c>
      <c r="B3731" s="2">
        <v>309.25343691887463</v>
      </c>
    </row>
    <row r="3732" spans="1:2">
      <c r="A3732">
        <v>3731</v>
      </c>
      <c r="B3732" s="2">
        <v>446.54758842048153</v>
      </c>
    </row>
    <row r="3733" spans="1:2">
      <c r="A3733">
        <v>3732</v>
      </c>
      <c r="B3733" s="2">
        <v>319.44794460749767</v>
      </c>
    </row>
    <row r="3734" spans="1:2">
      <c r="A3734">
        <v>3733</v>
      </c>
      <c r="B3734" s="2">
        <v>259.26496006251267</v>
      </c>
    </row>
    <row r="3735" spans="1:2">
      <c r="A3735">
        <v>3734</v>
      </c>
      <c r="B3735" s="2">
        <v>282.8098403399498</v>
      </c>
    </row>
    <row r="3736" spans="1:2">
      <c r="A3736">
        <v>3735</v>
      </c>
      <c r="B3736" s="2">
        <v>418.75954024267685</v>
      </c>
    </row>
    <row r="3737" spans="1:2">
      <c r="A3737">
        <v>3736</v>
      </c>
      <c r="B3737" s="2">
        <v>365.86473744469117</v>
      </c>
    </row>
    <row r="3738" spans="1:2">
      <c r="A3738">
        <v>3737</v>
      </c>
      <c r="B3738" s="2">
        <v>251.74389106298315</v>
      </c>
    </row>
    <row r="3739" spans="1:2">
      <c r="A3739">
        <v>3738</v>
      </c>
      <c r="B3739" s="2">
        <v>411.96196303397693</v>
      </c>
    </row>
    <row r="3740" spans="1:2">
      <c r="A3740">
        <v>3739</v>
      </c>
      <c r="B3740" s="2">
        <v>408.7654028724773</v>
      </c>
    </row>
    <row r="3741" spans="1:2">
      <c r="A3741">
        <v>3740</v>
      </c>
      <c r="B3741" s="2">
        <v>293.29752138327598</v>
      </c>
    </row>
    <row r="3742" spans="1:2">
      <c r="A3742">
        <v>3741</v>
      </c>
      <c r="B3742" s="2">
        <v>437.81060922869835</v>
      </c>
    </row>
    <row r="3743" spans="1:2">
      <c r="A3743">
        <v>3742</v>
      </c>
      <c r="B3743" s="2">
        <v>260.12896966777203</v>
      </c>
    </row>
    <row r="3744" spans="1:2">
      <c r="A3744">
        <v>3743</v>
      </c>
      <c r="B3744" s="2">
        <v>288.84190067320083</v>
      </c>
    </row>
    <row r="3745" spans="1:2">
      <c r="A3745">
        <v>3744</v>
      </c>
      <c r="B3745" s="2">
        <v>327.07004749778991</v>
      </c>
    </row>
    <row r="3746" spans="1:2">
      <c r="A3746">
        <v>3745</v>
      </c>
      <c r="B3746" s="2">
        <v>353.34772563493885</v>
      </c>
    </row>
    <row r="3747" spans="1:2">
      <c r="A3747">
        <v>3746</v>
      </c>
      <c r="B3747" s="2">
        <v>402.837280782807</v>
      </c>
    </row>
    <row r="3748" spans="1:2">
      <c r="A3748">
        <v>3747</v>
      </c>
      <c r="B3748" s="2">
        <v>329.0768371352753</v>
      </c>
    </row>
    <row r="3749" spans="1:2">
      <c r="A3749">
        <v>3748</v>
      </c>
      <c r="B3749" s="2">
        <v>338.06445336420273</v>
      </c>
    </row>
    <row r="3750" spans="1:2">
      <c r="A3750">
        <v>3749</v>
      </c>
      <c r="B3750" s="2">
        <v>247.89852111011282</v>
      </c>
    </row>
    <row r="3751" spans="1:2">
      <c r="A3751">
        <v>3750</v>
      </c>
      <c r="B3751" s="2">
        <v>359.06303440214754</v>
      </c>
    </row>
    <row r="3752" spans="1:2">
      <c r="A3752">
        <v>3751</v>
      </c>
      <c r="B3752" s="2">
        <v>560.76689613738017</v>
      </c>
    </row>
    <row r="3753" spans="1:2">
      <c r="A3753">
        <v>3752</v>
      </c>
      <c r="B3753" s="2">
        <v>370.47813660325437</v>
      </c>
    </row>
    <row r="3754" spans="1:2">
      <c r="A3754">
        <v>3753</v>
      </c>
      <c r="B3754" s="2">
        <v>406.47696417818833</v>
      </c>
    </row>
    <row r="3755" spans="1:2">
      <c r="A3755">
        <v>3754</v>
      </c>
      <c r="B3755" s="2">
        <v>260.96454005358322</v>
      </c>
    </row>
    <row r="3756" spans="1:2">
      <c r="A3756">
        <v>3755</v>
      </c>
      <c r="B3756" s="2">
        <v>215.01411412676936</v>
      </c>
    </row>
    <row r="3757" spans="1:2">
      <c r="A3757">
        <v>3756</v>
      </c>
      <c r="B3757" s="2">
        <v>430.10197324952469</v>
      </c>
    </row>
    <row r="3758" spans="1:2">
      <c r="A3758">
        <v>3757</v>
      </c>
      <c r="B3758" s="2">
        <v>399.91704148029339</v>
      </c>
    </row>
    <row r="3759" spans="1:2">
      <c r="A3759">
        <v>3758</v>
      </c>
      <c r="B3759" s="2">
        <v>246.04686429817875</v>
      </c>
    </row>
    <row r="3760" spans="1:2">
      <c r="A3760">
        <v>3759</v>
      </c>
      <c r="B3760" s="2">
        <v>334.10648938805286</v>
      </c>
    </row>
    <row r="3761" spans="1:2">
      <c r="A3761">
        <v>3760</v>
      </c>
      <c r="B3761" s="2">
        <v>271.95810319843616</v>
      </c>
    </row>
    <row r="3762" spans="1:2">
      <c r="A3762">
        <v>3761</v>
      </c>
      <c r="B3762" s="2">
        <v>332.99547090002886</v>
      </c>
    </row>
    <row r="3763" spans="1:2">
      <c r="A3763">
        <v>3762</v>
      </c>
      <c r="B3763" s="2">
        <v>275.21072950096186</v>
      </c>
    </row>
    <row r="3764" spans="1:2">
      <c r="A3764">
        <v>3763</v>
      </c>
      <c r="B3764" s="2">
        <v>359.45550914514365</v>
      </c>
    </row>
    <row r="3765" spans="1:2">
      <c r="A3765">
        <v>3764</v>
      </c>
      <c r="B3765" s="2">
        <v>205.06203473743503</v>
      </c>
    </row>
    <row r="3766" spans="1:2">
      <c r="A3766">
        <v>3765</v>
      </c>
      <c r="B3766" s="2">
        <v>341.04559818474291</v>
      </c>
    </row>
    <row r="3767" spans="1:2">
      <c r="A3767">
        <v>3766</v>
      </c>
      <c r="B3767" s="2">
        <v>346.87367893481769</v>
      </c>
    </row>
    <row r="3768" spans="1:2">
      <c r="A3768">
        <v>3767</v>
      </c>
      <c r="B3768" s="2">
        <v>382.90434587512743</v>
      </c>
    </row>
    <row r="3769" spans="1:2">
      <c r="A3769">
        <v>3768</v>
      </c>
      <c r="B3769" s="2">
        <v>235.15485318327751</v>
      </c>
    </row>
    <row r="3770" spans="1:2">
      <c r="A3770">
        <v>3769</v>
      </c>
      <c r="B3770" s="2">
        <v>300.83414492220737</v>
      </c>
    </row>
    <row r="3771" spans="1:2">
      <c r="A3771">
        <v>3770</v>
      </c>
      <c r="B3771" s="2">
        <v>397.11473595851993</v>
      </c>
    </row>
    <row r="3772" spans="1:2">
      <c r="A3772">
        <v>3771</v>
      </c>
      <c r="B3772" s="2">
        <v>440.54582758729418</v>
      </c>
    </row>
    <row r="3773" spans="1:2">
      <c r="A3773">
        <v>3772</v>
      </c>
      <c r="B3773" s="2">
        <v>431.06264997572816</v>
      </c>
    </row>
    <row r="3774" spans="1:2">
      <c r="A3774">
        <v>3773</v>
      </c>
      <c r="B3774" s="2">
        <v>330.60099132538352</v>
      </c>
    </row>
    <row r="3775" spans="1:2">
      <c r="A3775">
        <v>3774</v>
      </c>
      <c r="B3775" s="2">
        <v>356.9849879268312</v>
      </c>
    </row>
    <row r="3776" spans="1:2">
      <c r="A3776">
        <v>3775</v>
      </c>
      <c r="B3776" s="2">
        <v>322.77212917078072</v>
      </c>
    </row>
    <row r="3777" spans="1:2">
      <c r="A3777">
        <v>3776</v>
      </c>
      <c r="B3777" s="2">
        <v>364.55799696040287</v>
      </c>
    </row>
    <row r="3778" spans="1:2">
      <c r="A3778">
        <v>3777</v>
      </c>
      <c r="B3778" s="2">
        <v>448.58626560373131</v>
      </c>
    </row>
    <row r="3779" spans="1:2">
      <c r="A3779">
        <v>3778</v>
      </c>
      <c r="B3779" s="2">
        <v>304.92252772499728</v>
      </c>
    </row>
    <row r="3780" spans="1:2">
      <c r="A3780">
        <v>3779</v>
      </c>
      <c r="B3780" s="2">
        <v>195.13402871809097</v>
      </c>
    </row>
    <row r="3781" spans="1:2">
      <c r="A3781">
        <v>3780</v>
      </c>
      <c r="B3781" s="2">
        <v>358.52666886930615</v>
      </c>
    </row>
    <row r="3782" spans="1:2">
      <c r="A3782">
        <v>3781</v>
      </c>
      <c r="B3782" s="2">
        <v>318.59333282988877</v>
      </c>
    </row>
    <row r="3783" spans="1:2">
      <c r="A3783">
        <v>3782</v>
      </c>
      <c r="B3783" s="2">
        <v>285.49190355622852</v>
      </c>
    </row>
    <row r="3784" spans="1:2">
      <c r="A3784">
        <v>3783</v>
      </c>
      <c r="B3784" s="2">
        <v>377.4266877602995</v>
      </c>
    </row>
    <row r="3785" spans="1:2">
      <c r="A3785">
        <v>3784</v>
      </c>
      <c r="B3785" s="2">
        <v>200.01627958042585</v>
      </c>
    </row>
    <row r="3786" spans="1:2">
      <c r="A3786">
        <v>3785</v>
      </c>
      <c r="B3786" s="2">
        <v>260.09402845282341</v>
      </c>
    </row>
    <row r="3787" spans="1:2">
      <c r="A3787">
        <v>3786</v>
      </c>
      <c r="B3787" s="2">
        <v>400.37892361465259</v>
      </c>
    </row>
    <row r="3788" spans="1:2">
      <c r="A3788">
        <v>3787</v>
      </c>
      <c r="B3788" s="2">
        <v>395.64943324097692</v>
      </c>
    </row>
    <row r="3789" spans="1:2">
      <c r="A3789">
        <v>3788</v>
      </c>
      <c r="B3789" s="2">
        <v>144.44230086726367</v>
      </c>
    </row>
    <row r="3790" spans="1:2">
      <c r="A3790">
        <v>3789</v>
      </c>
      <c r="B3790" s="2">
        <v>311.75374928796555</v>
      </c>
    </row>
    <row r="3791" spans="1:2">
      <c r="A3791">
        <v>3790</v>
      </c>
      <c r="B3791" s="2">
        <v>220.74547542857024</v>
      </c>
    </row>
    <row r="3792" spans="1:2">
      <c r="A3792">
        <v>3791</v>
      </c>
      <c r="B3792" s="2">
        <v>233.21716741840618</v>
      </c>
    </row>
    <row r="3793" spans="1:2">
      <c r="A3793">
        <v>3792</v>
      </c>
      <c r="B3793" s="2">
        <v>257.57212620584738</v>
      </c>
    </row>
    <row r="3794" spans="1:2">
      <c r="A3794">
        <v>3793</v>
      </c>
      <c r="B3794" s="2">
        <v>396.49417613992512</v>
      </c>
    </row>
    <row r="3795" spans="1:2">
      <c r="A3795">
        <v>3794</v>
      </c>
      <c r="B3795" s="2">
        <v>308.11015072042369</v>
      </c>
    </row>
    <row r="3796" spans="1:2">
      <c r="A3796">
        <v>3795</v>
      </c>
      <c r="B3796" s="2">
        <v>336.75351726707794</v>
      </c>
    </row>
    <row r="3797" spans="1:2">
      <c r="A3797">
        <v>3796</v>
      </c>
      <c r="B3797" s="2">
        <v>260.75375733021576</v>
      </c>
    </row>
    <row r="3798" spans="1:2">
      <c r="A3798">
        <v>3797</v>
      </c>
      <c r="B3798" s="2">
        <v>359.97236192925709</v>
      </c>
    </row>
    <row r="3799" spans="1:2">
      <c r="A3799">
        <v>3798</v>
      </c>
      <c r="B3799" s="2">
        <v>495.40332467541077</v>
      </c>
    </row>
    <row r="3800" spans="1:2">
      <c r="A3800">
        <v>3799</v>
      </c>
      <c r="B3800" s="2">
        <v>264.95357988877595</v>
      </c>
    </row>
    <row r="3801" spans="1:2">
      <c r="A3801">
        <v>3800</v>
      </c>
      <c r="B3801" s="2">
        <v>364.5798412130099</v>
      </c>
    </row>
    <row r="3802" spans="1:2">
      <c r="A3802">
        <v>3801</v>
      </c>
      <c r="B3802" s="2">
        <v>423.05651556044586</v>
      </c>
    </row>
    <row r="3803" spans="1:2">
      <c r="A3803">
        <v>3802</v>
      </c>
      <c r="B3803" s="2">
        <v>475.36918416775154</v>
      </c>
    </row>
    <row r="3804" spans="1:2">
      <c r="A3804">
        <v>3803</v>
      </c>
      <c r="B3804" s="2">
        <v>413.24657977146268</v>
      </c>
    </row>
    <row r="3805" spans="1:2">
      <c r="A3805">
        <v>3804</v>
      </c>
      <c r="B3805" s="2">
        <v>231.93071476929566</v>
      </c>
    </row>
    <row r="3806" spans="1:2">
      <c r="A3806">
        <v>3805</v>
      </c>
      <c r="B3806" s="2">
        <v>461.70981134911335</v>
      </c>
    </row>
    <row r="3807" spans="1:2">
      <c r="A3807">
        <v>3806</v>
      </c>
      <c r="B3807" s="2">
        <v>447.6445059467062</v>
      </c>
    </row>
    <row r="3808" spans="1:2">
      <c r="A3808">
        <v>3807</v>
      </c>
      <c r="B3808" s="2">
        <v>362.49956443863459</v>
      </c>
    </row>
    <row r="3809" spans="1:2">
      <c r="A3809">
        <v>3808</v>
      </c>
      <c r="B3809" s="2">
        <v>328.93414782057243</v>
      </c>
    </row>
    <row r="3810" spans="1:2">
      <c r="A3810">
        <v>3809</v>
      </c>
      <c r="B3810" s="2">
        <v>482.2104906802619</v>
      </c>
    </row>
    <row r="3811" spans="1:2">
      <c r="A3811">
        <v>3810</v>
      </c>
      <c r="B3811" s="2">
        <v>477.72850097308515</v>
      </c>
    </row>
    <row r="3812" spans="1:2">
      <c r="A3812">
        <v>3811</v>
      </c>
      <c r="B3812" s="2">
        <v>494.90332872029467</v>
      </c>
    </row>
    <row r="3813" spans="1:2">
      <c r="A3813">
        <v>3812</v>
      </c>
      <c r="B3813" s="2">
        <v>337.1611948837633</v>
      </c>
    </row>
    <row r="3814" spans="1:2">
      <c r="A3814">
        <v>3813</v>
      </c>
      <c r="B3814" s="2">
        <v>433.10262641858998</v>
      </c>
    </row>
    <row r="3815" spans="1:2">
      <c r="A3815">
        <v>3814</v>
      </c>
      <c r="B3815" s="2">
        <v>374.82443723525535</v>
      </c>
    </row>
    <row r="3816" spans="1:2">
      <c r="A3816">
        <v>3815</v>
      </c>
      <c r="B3816" s="2">
        <v>374.29699415430082</v>
      </c>
    </row>
    <row r="3817" spans="1:2">
      <c r="A3817">
        <v>3816</v>
      </c>
      <c r="B3817" s="2">
        <v>321.7252396175885</v>
      </c>
    </row>
    <row r="3818" spans="1:2">
      <c r="A3818">
        <v>3817</v>
      </c>
      <c r="B3818" s="2">
        <v>251.84177334040109</v>
      </c>
    </row>
    <row r="3819" spans="1:2">
      <c r="A3819">
        <v>3818</v>
      </c>
      <c r="B3819" s="2">
        <v>278.27811664359729</v>
      </c>
    </row>
    <row r="3820" spans="1:2">
      <c r="A3820">
        <v>3819</v>
      </c>
      <c r="B3820" s="2">
        <v>381.17618428423145</v>
      </c>
    </row>
    <row r="3821" spans="1:2">
      <c r="A3821">
        <v>3820</v>
      </c>
      <c r="B3821" s="2">
        <v>315.8067117161379</v>
      </c>
    </row>
    <row r="3822" spans="1:2">
      <c r="A3822">
        <v>3821</v>
      </c>
      <c r="B3822" s="2">
        <v>305.18203718228324</v>
      </c>
    </row>
    <row r="3823" spans="1:2">
      <c r="A3823">
        <v>3822</v>
      </c>
      <c r="B3823" s="2">
        <v>503.91279067400149</v>
      </c>
    </row>
    <row r="3824" spans="1:2">
      <c r="A3824">
        <v>3823</v>
      </c>
      <c r="B3824" s="2">
        <v>474.47957946240462</v>
      </c>
    </row>
    <row r="3825" spans="1:2">
      <c r="A3825">
        <v>3824</v>
      </c>
      <c r="B3825" s="2">
        <v>404.54250022083409</v>
      </c>
    </row>
    <row r="3826" spans="1:2">
      <c r="A3826">
        <v>3825</v>
      </c>
      <c r="B3826" s="2">
        <v>383.75096496159694</v>
      </c>
    </row>
    <row r="3827" spans="1:2">
      <c r="A3827">
        <v>3826</v>
      </c>
      <c r="B3827" s="2">
        <v>254.07869544392366</v>
      </c>
    </row>
    <row r="3828" spans="1:2">
      <c r="A3828">
        <v>3827</v>
      </c>
      <c r="B3828" s="2">
        <v>363.90634982454952</v>
      </c>
    </row>
    <row r="3829" spans="1:2">
      <c r="A3829">
        <v>3828</v>
      </c>
      <c r="B3829" s="2">
        <v>435.19055250143663</v>
      </c>
    </row>
    <row r="3830" spans="1:2">
      <c r="A3830">
        <v>3829</v>
      </c>
      <c r="B3830" s="2">
        <v>226.36608735309596</v>
      </c>
    </row>
    <row r="3831" spans="1:2">
      <c r="A3831">
        <v>3830</v>
      </c>
      <c r="B3831" s="2">
        <v>414.66345389033108</v>
      </c>
    </row>
    <row r="3832" spans="1:2">
      <c r="A3832">
        <v>3831</v>
      </c>
      <c r="B3832" s="2">
        <v>265.61408776709015</v>
      </c>
    </row>
    <row r="3833" spans="1:2">
      <c r="A3833">
        <v>3832</v>
      </c>
      <c r="B3833" s="2">
        <v>346.25900038000748</v>
      </c>
    </row>
    <row r="3834" spans="1:2">
      <c r="A3834">
        <v>3833</v>
      </c>
      <c r="B3834" s="2">
        <v>225.99999843317869</v>
      </c>
    </row>
    <row r="3835" spans="1:2">
      <c r="A3835">
        <v>3834</v>
      </c>
      <c r="B3835" s="2">
        <v>446.62250535166595</v>
      </c>
    </row>
    <row r="3836" spans="1:2">
      <c r="A3836">
        <v>3835</v>
      </c>
      <c r="B3836" s="2">
        <v>347.77484283588979</v>
      </c>
    </row>
    <row r="3837" spans="1:2">
      <c r="A3837">
        <v>3836</v>
      </c>
      <c r="B3837" s="2">
        <v>372.44504730973654</v>
      </c>
    </row>
    <row r="3838" spans="1:2">
      <c r="A3838">
        <v>3837</v>
      </c>
      <c r="B3838" s="2">
        <v>410.30722682354451</v>
      </c>
    </row>
    <row r="3839" spans="1:2">
      <c r="A3839">
        <v>3838</v>
      </c>
      <c r="B3839" s="2">
        <v>298.6048737013208</v>
      </c>
    </row>
    <row r="3840" spans="1:2">
      <c r="A3840">
        <v>3839</v>
      </c>
      <c r="B3840" s="2">
        <v>337.32996339645308</v>
      </c>
    </row>
    <row r="3841" spans="1:2">
      <c r="A3841">
        <v>3840</v>
      </c>
      <c r="B3841" s="2">
        <v>317.07540106533168</v>
      </c>
    </row>
    <row r="3842" spans="1:2">
      <c r="A3842">
        <v>3841</v>
      </c>
      <c r="B3842" s="2">
        <v>320.02320175042456</v>
      </c>
    </row>
    <row r="3843" spans="1:2">
      <c r="A3843">
        <v>3842</v>
      </c>
      <c r="B3843" s="2">
        <v>294.79115786085629</v>
      </c>
    </row>
    <row r="3844" spans="1:2">
      <c r="A3844">
        <v>3843</v>
      </c>
      <c r="B3844" s="2">
        <v>277.76863404348137</v>
      </c>
    </row>
    <row r="3845" spans="1:2">
      <c r="A3845">
        <v>3844</v>
      </c>
      <c r="B3845" s="2">
        <v>429.76953566689565</v>
      </c>
    </row>
    <row r="3846" spans="1:2">
      <c r="A3846">
        <v>3845</v>
      </c>
      <c r="B3846" s="2">
        <v>245.48203305396405</v>
      </c>
    </row>
    <row r="3847" spans="1:2">
      <c r="A3847">
        <v>3846</v>
      </c>
      <c r="B3847" s="2">
        <v>429.95720066401697</v>
      </c>
    </row>
    <row r="3848" spans="1:2">
      <c r="A3848">
        <v>3847</v>
      </c>
      <c r="B3848" s="2">
        <v>322.75770987662776</v>
      </c>
    </row>
    <row r="3849" spans="1:2">
      <c r="A3849">
        <v>3848</v>
      </c>
      <c r="B3849" s="2">
        <v>366.76226594294786</v>
      </c>
    </row>
    <row r="3850" spans="1:2">
      <c r="A3850">
        <v>3849</v>
      </c>
      <c r="B3850" s="2">
        <v>233.619429251989</v>
      </c>
    </row>
    <row r="3851" spans="1:2">
      <c r="A3851">
        <v>3850</v>
      </c>
      <c r="B3851" s="2">
        <v>307.74944562549769</v>
      </c>
    </row>
    <row r="3852" spans="1:2">
      <c r="A3852">
        <v>3851</v>
      </c>
      <c r="B3852" s="2">
        <v>381.46203179840916</v>
      </c>
    </row>
    <row r="3853" spans="1:2">
      <c r="A3853">
        <v>3852</v>
      </c>
      <c r="B3853" s="2">
        <v>308.86915085253327</v>
      </c>
    </row>
    <row r="3854" spans="1:2">
      <c r="A3854">
        <v>3853</v>
      </c>
      <c r="B3854" s="2">
        <v>154.91805017703535</v>
      </c>
    </row>
    <row r="3855" spans="1:2">
      <c r="A3855">
        <v>3854</v>
      </c>
      <c r="B3855" s="2">
        <v>411.4166601657426</v>
      </c>
    </row>
    <row r="3856" spans="1:2">
      <c r="A3856">
        <v>3855</v>
      </c>
      <c r="B3856" s="2">
        <v>473.49511569876239</v>
      </c>
    </row>
    <row r="3857" spans="1:2">
      <c r="A3857">
        <v>3856</v>
      </c>
      <c r="B3857" s="2">
        <v>469.86042667945139</v>
      </c>
    </row>
    <row r="3858" spans="1:2">
      <c r="A3858">
        <v>3857</v>
      </c>
      <c r="B3858" s="2">
        <v>310.69957157013187</v>
      </c>
    </row>
    <row r="3859" spans="1:2">
      <c r="A3859">
        <v>3858</v>
      </c>
      <c r="B3859" s="2">
        <v>364.10221932253461</v>
      </c>
    </row>
    <row r="3860" spans="1:2">
      <c r="A3860">
        <v>3859</v>
      </c>
      <c r="B3860" s="2">
        <v>437.96100257917283</v>
      </c>
    </row>
    <row r="3861" spans="1:2">
      <c r="A3861">
        <v>3860</v>
      </c>
      <c r="B3861" s="2">
        <v>358.464373396589</v>
      </c>
    </row>
    <row r="3862" spans="1:2">
      <c r="A3862">
        <v>3861</v>
      </c>
      <c r="B3862" s="2">
        <v>341.31619711914186</v>
      </c>
    </row>
    <row r="3863" spans="1:2">
      <c r="A3863">
        <v>3862</v>
      </c>
      <c r="B3863" s="2">
        <v>361.17978041218532</v>
      </c>
    </row>
    <row r="3864" spans="1:2">
      <c r="A3864">
        <v>3863</v>
      </c>
      <c r="B3864" s="2">
        <v>167.76520039694969</v>
      </c>
    </row>
    <row r="3865" spans="1:2">
      <c r="A3865">
        <v>3864</v>
      </c>
      <c r="B3865" s="2">
        <v>503.04907774454199</v>
      </c>
    </row>
    <row r="3866" spans="1:2">
      <c r="A3866">
        <v>3865</v>
      </c>
      <c r="B3866" s="2">
        <v>381.81880525835373</v>
      </c>
    </row>
    <row r="3867" spans="1:2">
      <c r="A3867">
        <v>3866</v>
      </c>
      <c r="B3867" s="2">
        <v>263.68035511712458</v>
      </c>
    </row>
    <row r="3868" spans="1:2">
      <c r="A3868">
        <v>3867</v>
      </c>
      <c r="B3868" s="2">
        <v>201.47419750461304</v>
      </c>
    </row>
    <row r="3869" spans="1:2">
      <c r="A3869">
        <v>3868</v>
      </c>
      <c r="B3869" s="2">
        <v>306.22245006541021</v>
      </c>
    </row>
    <row r="3870" spans="1:2">
      <c r="A3870">
        <v>3869</v>
      </c>
      <c r="B3870" s="2">
        <v>249.31949651953528</v>
      </c>
    </row>
    <row r="3871" spans="1:2">
      <c r="A3871">
        <v>3870</v>
      </c>
      <c r="B3871" s="2">
        <v>402.76542090827445</v>
      </c>
    </row>
    <row r="3872" spans="1:2">
      <c r="A3872">
        <v>3871</v>
      </c>
      <c r="B3872" s="2">
        <v>181.98505992944376</v>
      </c>
    </row>
    <row r="3873" spans="1:2">
      <c r="A3873">
        <v>3872</v>
      </c>
      <c r="B3873" s="2">
        <v>370.59249548382462</v>
      </c>
    </row>
    <row r="3874" spans="1:2">
      <c r="A3874">
        <v>3873</v>
      </c>
      <c r="B3874" s="2">
        <v>413.29163438862395</v>
      </c>
    </row>
    <row r="3875" spans="1:2">
      <c r="A3875">
        <v>3874</v>
      </c>
      <c r="B3875" s="2">
        <v>327.7278901283961</v>
      </c>
    </row>
    <row r="3876" spans="1:2">
      <c r="A3876">
        <v>3875</v>
      </c>
      <c r="B3876" s="2">
        <v>334.82191934839796</v>
      </c>
    </row>
    <row r="3877" spans="1:2">
      <c r="A3877">
        <v>3876</v>
      </c>
      <c r="B3877" s="2">
        <v>404.62970648616226</v>
      </c>
    </row>
    <row r="3878" spans="1:2">
      <c r="A3878">
        <v>3877</v>
      </c>
      <c r="B3878" s="2">
        <v>234.94647140098823</v>
      </c>
    </row>
    <row r="3879" spans="1:2">
      <c r="A3879">
        <v>3878</v>
      </c>
      <c r="B3879" s="2">
        <v>348.83965784160199</v>
      </c>
    </row>
    <row r="3880" spans="1:2">
      <c r="A3880">
        <v>3879</v>
      </c>
      <c r="B3880" s="2">
        <v>328.27398903521885</v>
      </c>
    </row>
    <row r="3881" spans="1:2">
      <c r="A3881">
        <v>3880</v>
      </c>
      <c r="B3881" s="2">
        <v>376.58320871247179</v>
      </c>
    </row>
    <row r="3882" spans="1:2">
      <c r="A3882">
        <v>3881</v>
      </c>
      <c r="B3882" s="2">
        <v>358.78344891295262</v>
      </c>
    </row>
    <row r="3883" spans="1:2">
      <c r="A3883">
        <v>3882</v>
      </c>
      <c r="B3883" s="2">
        <v>368.9145509572628</v>
      </c>
    </row>
    <row r="3884" spans="1:2">
      <c r="A3884">
        <v>3883</v>
      </c>
      <c r="B3884" s="2">
        <v>296.59795379292649</v>
      </c>
    </row>
    <row r="3885" spans="1:2">
      <c r="A3885">
        <v>3884</v>
      </c>
      <c r="B3885" s="2">
        <v>212.36844650362571</v>
      </c>
    </row>
    <row r="3886" spans="1:2">
      <c r="A3886">
        <v>3885</v>
      </c>
      <c r="B3886" s="2">
        <v>428.55820238411559</v>
      </c>
    </row>
    <row r="3887" spans="1:2">
      <c r="A3887">
        <v>3886</v>
      </c>
      <c r="B3887" s="2">
        <v>266.50323180037901</v>
      </c>
    </row>
    <row r="3888" spans="1:2">
      <c r="A3888">
        <v>3887</v>
      </c>
      <c r="B3888" s="2">
        <v>382.26295074994977</v>
      </c>
    </row>
    <row r="3889" spans="1:2">
      <c r="A3889">
        <v>3888</v>
      </c>
      <c r="B3889" s="2">
        <v>329.00585067051128</v>
      </c>
    </row>
    <row r="3890" spans="1:2">
      <c r="A3890">
        <v>3889</v>
      </c>
      <c r="B3890" s="2">
        <v>287.44618414667309</v>
      </c>
    </row>
    <row r="3891" spans="1:2">
      <c r="A3891">
        <v>3890</v>
      </c>
      <c r="B3891" s="2">
        <v>253.42070480143192</v>
      </c>
    </row>
    <row r="3892" spans="1:2">
      <c r="A3892">
        <v>3891</v>
      </c>
      <c r="B3892" s="2">
        <v>569.90663022361105</v>
      </c>
    </row>
    <row r="3893" spans="1:2">
      <c r="A3893">
        <v>3892</v>
      </c>
      <c r="B3893" s="2">
        <v>256.59463849549752</v>
      </c>
    </row>
    <row r="3894" spans="1:2">
      <c r="A3894">
        <v>3893</v>
      </c>
      <c r="B3894" s="2">
        <v>379.07941895800502</v>
      </c>
    </row>
    <row r="3895" spans="1:2">
      <c r="A3895">
        <v>3894</v>
      </c>
      <c r="B3895" s="2">
        <v>368.48341843520825</v>
      </c>
    </row>
    <row r="3896" spans="1:2">
      <c r="A3896">
        <v>3895</v>
      </c>
      <c r="B3896" s="2">
        <v>287.18837481287994</v>
      </c>
    </row>
    <row r="3897" spans="1:2">
      <c r="A3897">
        <v>3896</v>
      </c>
      <c r="B3897" s="2">
        <v>348.18121148968578</v>
      </c>
    </row>
    <row r="3898" spans="1:2">
      <c r="A3898">
        <v>3897</v>
      </c>
      <c r="B3898" s="2">
        <v>312.45224052888551</v>
      </c>
    </row>
    <row r="3899" spans="1:2">
      <c r="A3899">
        <v>3898</v>
      </c>
      <c r="B3899" s="2">
        <v>278.03390653230264</v>
      </c>
    </row>
    <row r="3900" spans="1:2">
      <c r="A3900">
        <v>3899</v>
      </c>
      <c r="B3900" s="2">
        <v>363.57818227944324</v>
      </c>
    </row>
    <row r="3901" spans="1:2">
      <c r="A3901">
        <v>3900</v>
      </c>
      <c r="B3901" s="2">
        <v>438.58906715840368</v>
      </c>
    </row>
    <row r="3902" spans="1:2">
      <c r="A3902">
        <v>3901</v>
      </c>
      <c r="B3902" s="2">
        <v>310.91798773797751</v>
      </c>
    </row>
    <row r="3903" spans="1:2">
      <c r="A3903">
        <v>3902</v>
      </c>
      <c r="B3903" s="2">
        <v>255.57147382242448</v>
      </c>
    </row>
    <row r="3904" spans="1:2">
      <c r="A3904">
        <v>3903</v>
      </c>
      <c r="B3904" s="2">
        <v>391.19626546537444</v>
      </c>
    </row>
    <row r="3905" spans="1:2">
      <c r="A3905">
        <v>3904</v>
      </c>
      <c r="B3905" s="2">
        <v>343.59336184392339</v>
      </c>
    </row>
    <row r="3906" spans="1:2">
      <c r="A3906">
        <v>3905</v>
      </c>
      <c r="B3906" s="2">
        <v>392.72123127347965</v>
      </c>
    </row>
    <row r="3907" spans="1:2">
      <c r="A3907">
        <v>3906</v>
      </c>
      <c r="B3907" s="2">
        <v>389.14093293335799</v>
      </c>
    </row>
    <row r="3908" spans="1:2">
      <c r="A3908">
        <v>3907</v>
      </c>
      <c r="B3908" s="2">
        <v>318.59790889990643</v>
      </c>
    </row>
    <row r="3909" spans="1:2">
      <c r="A3909">
        <v>3908</v>
      </c>
      <c r="B3909" s="2">
        <v>404.54105371272044</v>
      </c>
    </row>
    <row r="3910" spans="1:2">
      <c r="A3910">
        <v>3909</v>
      </c>
      <c r="B3910" s="2">
        <v>347.84888852718626</v>
      </c>
    </row>
    <row r="3911" spans="1:2">
      <c r="A3911">
        <v>3910</v>
      </c>
      <c r="B3911" s="2">
        <v>192.46051624439556</v>
      </c>
    </row>
    <row r="3912" spans="1:2">
      <c r="A3912">
        <v>3911</v>
      </c>
      <c r="B3912" s="2">
        <v>267.94039871542475</v>
      </c>
    </row>
    <row r="3913" spans="1:2">
      <c r="A3913">
        <v>3912</v>
      </c>
      <c r="B3913" s="2">
        <v>453.71241660460652</v>
      </c>
    </row>
    <row r="3914" spans="1:2">
      <c r="A3914">
        <v>3913</v>
      </c>
      <c r="B3914" s="2">
        <v>354.95041936838686</v>
      </c>
    </row>
    <row r="3915" spans="1:2">
      <c r="A3915">
        <v>3914</v>
      </c>
      <c r="B3915" s="2">
        <v>326.71307637794973</v>
      </c>
    </row>
    <row r="3916" spans="1:2">
      <c r="A3916">
        <v>3915</v>
      </c>
      <c r="B3916" s="2">
        <v>439.09140787639569</v>
      </c>
    </row>
    <row r="3917" spans="1:2">
      <c r="A3917">
        <v>3916</v>
      </c>
      <c r="B3917" s="2">
        <v>409.45134839981438</v>
      </c>
    </row>
    <row r="3918" spans="1:2">
      <c r="A3918">
        <v>3917</v>
      </c>
      <c r="B3918" s="2">
        <v>335.88624914431819</v>
      </c>
    </row>
    <row r="3919" spans="1:2">
      <c r="A3919">
        <v>3918</v>
      </c>
      <c r="B3919" s="2">
        <v>372.74275986330821</v>
      </c>
    </row>
    <row r="3920" spans="1:2">
      <c r="A3920">
        <v>3919</v>
      </c>
      <c r="B3920" s="2">
        <v>304.11489463930934</v>
      </c>
    </row>
    <row r="3921" spans="1:2">
      <c r="A3921">
        <v>3920</v>
      </c>
      <c r="B3921" s="2">
        <v>398.91710767161749</v>
      </c>
    </row>
    <row r="3922" spans="1:2">
      <c r="A3922">
        <v>3921</v>
      </c>
      <c r="B3922" s="2">
        <v>270.0966095210353</v>
      </c>
    </row>
    <row r="3923" spans="1:2">
      <c r="A3923">
        <v>3922</v>
      </c>
      <c r="B3923" s="2">
        <v>412.74361006510338</v>
      </c>
    </row>
    <row r="3924" spans="1:2">
      <c r="A3924">
        <v>3923</v>
      </c>
      <c r="B3924" s="2">
        <v>184.98760030335734</v>
      </c>
    </row>
    <row r="3925" spans="1:2">
      <c r="A3925">
        <v>3924</v>
      </c>
      <c r="B3925" s="2">
        <v>468.1215151484879</v>
      </c>
    </row>
    <row r="3926" spans="1:2">
      <c r="A3926">
        <v>3925</v>
      </c>
      <c r="B3926" s="2">
        <v>377.19188619540802</v>
      </c>
    </row>
    <row r="3927" spans="1:2">
      <c r="A3927">
        <v>3926</v>
      </c>
      <c r="B3927" s="2">
        <v>211.78115318794465</v>
      </c>
    </row>
    <row r="3928" spans="1:2">
      <c r="A3928">
        <v>3927</v>
      </c>
      <c r="B3928" s="2">
        <v>289.59475355229517</v>
      </c>
    </row>
    <row r="3929" spans="1:2">
      <c r="A3929">
        <v>3928</v>
      </c>
      <c r="B3929" s="2">
        <v>228.93269217635833</v>
      </c>
    </row>
    <row r="3930" spans="1:2">
      <c r="A3930">
        <v>3929</v>
      </c>
      <c r="B3930" s="2">
        <v>290.36993159531357</v>
      </c>
    </row>
    <row r="3931" spans="1:2">
      <c r="A3931">
        <v>3930</v>
      </c>
      <c r="B3931" s="2">
        <v>371.91656713372493</v>
      </c>
    </row>
    <row r="3932" spans="1:2">
      <c r="A3932">
        <v>3931</v>
      </c>
      <c r="B3932" s="2">
        <v>344.98478089869121</v>
      </c>
    </row>
    <row r="3933" spans="1:2">
      <c r="A3933">
        <v>3932</v>
      </c>
      <c r="B3933" s="2">
        <v>269.10553707209397</v>
      </c>
    </row>
    <row r="3934" spans="1:2">
      <c r="A3934">
        <v>3933</v>
      </c>
      <c r="B3934" s="2">
        <v>315.86516309983494</v>
      </c>
    </row>
    <row r="3935" spans="1:2">
      <c r="A3935">
        <v>3934</v>
      </c>
      <c r="B3935" s="2">
        <v>441.34132830405088</v>
      </c>
    </row>
    <row r="3936" spans="1:2">
      <c r="A3936">
        <v>3935</v>
      </c>
      <c r="B3936" s="2">
        <v>404.91018268718437</v>
      </c>
    </row>
    <row r="3937" spans="1:2">
      <c r="A3937">
        <v>3936</v>
      </c>
      <c r="B3937" s="2">
        <v>327.6029222564307</v>
      </c>
    </row>
    <row r="3938" spans="1:2">
      <c r="A3938">
        <v>3937</v>
      </c>
      <c r="B3938" s="2">
        <v>211.92627190400543</v>
      </c>
    </row>
    <row r="3939" spans="1:2">
      <c r="A3939">
        <v>3938</v>
      </c>
      <c r="B3939" s="2">
        <v>246.95499622976797</v>
      </c>
    </row>
    <row r="3940" spans="1:2">
      <c r="A3940">
        <v>3939</v>
      </c>
      <c r="B3940" s="2">
        <v>289.80832573612798</v>
      </c>
    </row>
    <row r="3941" spans="1:2">
      <c r="A3941">
        <v>3940</v>
      </c>
      <c r="B3941" s="2">
        <v>318.33159283661723</v>
      </c>
    </row>
    <row r="3942" spans="1:2">
      <c r="A3942">
        <v>3941</v>
      </c>
      <c r="B3942" s="2">
        <v>342.85227807869529</v>
      </c>
    </row>
    <row r="3943" spans="1:2">
      <c r="A3943">
        <v>3942</v>
      </c>
      <c r="B3943" s="2">
        <v>232.49176076867144</v>
      </c>
    </row>
    <row r="3944" spans="1:2">
      <c r="A3944">
        <v>3943</v>
      </c>
      <c r="B3944" s="2">
        <v>385.33143548872107</v>
      </c>
    </row>
    <row r="3945" spans="1:2">
      <c r="A3945">
        <v>3944</v>
      </c>
      <c r="B3945" s="2">
        <v>194.33325564316959</v>
      </c>
    </row>
    <row r="3946" spans="1:2">
      <c r="A3946">
        <v>3945</v>
      </c>
      <c r="B3946" s="2">
        <v>325.94017715678865</v>
      </c>
    </row>
    <row r="3947" spans="1:2">
      <c r="A3947">
        <v>3946</v>
      </c>
      <c r="B3947" s="2">
        <v>345.47287139640179</v>
      </c>
    </row>
    <row r="3948" spans="1:2">
      <c r="A3948">
        <v>3947</v>
      </c>
      <c r="B3948" s="2">
        <v>383.71751283935276</v>
      </c>
    </row>
    <row r="3949" spans="1:2">
      <c r="A3949">
        <v>3948</v>
      </c>
      <c r="B3949" s="2">
        <v>385.57901322754196</v>
      </c>
    </row>
    <row r="3950" spans="1:2">
      <c r="A3950">
        <v>3949</v>
      </c>
      <c r="B3950" s="2">
        <v>393.72925378256309</v>
      </c>
    </row>
    <row r="3951" spans="1:2">
      <c r="A3951">
        <v>3950</v>
      </c>
      <c r="B3951" s="2">
        <v>389.77857453291313</v>
      </c>
    </row>
    <row r="3952" spans="1:2">
      <c r="A3952">
        <v>3951</v>
      </c>
      <c r="B3952" s="2">
        <v>337.29691574058774</v>
      </c>
    </row>
    <row r="3953" spans="1:2">
      <c r="A3953">
        <v>3952</v>
      </c>
      <c r="B3953" s="2">
        <v>252.45942893042729</v>
      </c>
    </row>
    <row r="3954" spans="1:2">
      <c r="A3954">
        <v>3953</v>
      </c>
      <c r="B3954" s="2">
        <v>432.95108126744009</v>
      </c>
    </row>
    <row r="3955" spans="1:2">
      <c r="A3955">
        <v>3954</v>
      </c>
      <c r="B3955" s="2">
        <v>343.03719186668934</v>
      </c>
    </row>
    <row r="3956" spans="1:2">
      <c r="A3956">
        <v>3955</v>
      </c>
      <c r="B3956" s="2">
        <v>295.39600526762899</v>
      </c>
    </row>
    <row r="3957" spans="1:2">
      <c r="A3957">
        <v>3956</v>
      </c>
      <c r="B3957" s="2">
        <v>279.65756043801503</v>
      </c>
    </row>
    <row r="3958" spans="1:2">
      <c r="A3958">
        <v>3957</v>
      </c>
      <c r="B3958" s="2">
        <v>356.13139054266964</v>
      </c>
    </row>
    <row r="3959" spans="1:2">
      <c r="A3959">
        <v>3958</v>
      </c>
      <c r="B3959" s="2">
        <v>366.3676533891869</v>
      </c>
    </row>
    <row r="3960" spans="1:2">
      <c r="A3960">
        <v>3959</v>
      </c>
      <c r="B3960" s="2">
        <v>267.812271628448</v>
      </c>
    </row>
    <row r="3961" spans="1:2">
      <c r="A3961">
        <v>3960</v>
      </c>
      <c r="B3961" s="2">
        <v>408.75150901311349</v>
      </c>
    </row>
    <row r="3962" spans="1:2">
      <c r="A3962">
        <v>3961</v>
      </c>
      <c r="B3962" s="2">
        <v>495.11055074288504</v>
      </c>
    </row>
    <row r="3963" spans="1:2">
      <c r="A3963">
        <v>3962</v>
      </c>
      <c r="B3963" s="2">
        <v>267.1147652625624</v>
      </c>
    </row>
    <row r="3964" spans="1:2">
      <c r="A3964">
        <v>3963</v>
      </c>
      <c r="B3964" s="2">
        <v>439.99814450572899</v>
      </c>
    </row>
    <row r="3965" spans="1:2">
      <c r="A3965">
        <v>3964</v>
      </c>
      <c r="B3965" s="2">
        <v>299.19209085883102</v>
      </c>
    </row>
    <row r="3966" spans="1:2">
      <c r="A3966">
        <v>3965</v>
      </c>
      <c r="B3966" s="2">
        <v>403.92434261863349</v>
      </c>
    </row>
    <row r="3967" spans="1:2">
      <c r="A3967">
        <v>3966</v>
      </c>
      <c r="B3967" s="2">
        <v>265.12834843649097</v>
      </c>
    </row>
    <row r="3968" spans="1:2">
      <c r="A3968">
        <v>3967</v>
      </c>
      <c r="B3968" s="2">
        <v>404.41602871807663</v>
      </c>
    </row>
    <row r="3969" spans="1:2">
      <c r="A3969">
        <v>3968</v>
      </c>
      <c r="B3969" s="2">
        <v>266.5480589867052</v>
      </c>
    </row>
    <row r="3970" spans="1:2">
      <c r="A3970">
        <v>3969</v>
      </c>
      <c r="B3970" s="2">
        <v>374.863987088557</v>
      </c>
    </row>
    <row r="3971" spans="1:2">
      <c r="A3971">
        <v>3970</v>
      </c>
      <c r="B3971" s="2">
        <v>405.37837679661652</v>
      </c>
    </row>
    <row r="3972" spans="1:2">
      <c r="A3972">
        <v>3971</v>
      </c>
      <c r="B3972" s="2">
        <v>298.1910730411625</v>
      </c>
    </row>
    <row r="3973" spans="1:2">
      <c r="A3973">
        <v>3972</v>
      </c>
      <c r="B3973" s="2">
        <v>288.51802051309562</v>
      </c>
    </row>
    <row r="3974" spans="1:2">
      <c r="A3974">
        <v>3973</v>
      </c>
      <c r="B3974" s="2">
        <v>352.24225759867068</v>
      </c>
    </row>
    <row r="3975" spans="1:2">
      <c r="A3975">
        <v>3974</v>
      </c>
      <c r="B3975" s="2">
        <v>264.73794958157384</v>
      </c>
    </row>
    <row r="3976" spans="1:2">
      <c r="A3976">
        <v>3975</v>
      </c>
      <c r="B3976" s="2">
        <v>495.67628124804776</v>
      </c>
    </row>
    <row r="3977" spans="1:2">
      <c r="A3977">
        <v>3976</v>
      </c>
      <c r="B3977" s="2">
        <v>479.88762123032575</v>
      </c>
    </row>
    <row r="3978" spans="1:2">
      <c r="A3978">
        <v>3977</v>
      </c>
      <c r="B3978" s="2">
        <v>388.86573302929469</v>
      </c>
    </row>
    <row r="3979" spans="1:2">
      <c r="A3979">
        <v>3978</v>
      </c>
      <c r="B3979" s="2">
        <v>428.24145152978861</v>
      </c>
    </row>
    <row r="3980" spans="1:2">
      <c r="A3980">
        <v>3979</v>
      </c>
      <c r="B3980" s="2">
        <v>286.05232259309537</v>
      </c>
    </row>
    <row r="3981" spans="1:2">
      <c r="A3981">
        <v>3980</v>
      </c>
      <c r="B3981" s="2">
        <v>326.55480900206652</v>
      </c>
    </row>
    <row r="3982" spans="1:2">
      <c r="A3982">
        <v>3981</v>
      </c>
      <c r="B3982" s="2">
        <v>386.74124439880973</v>
      </c>
    </row>
    <row r="3983" spans="1:2">
      <c r="A3983">
        <v>3982</v>
      </c>
      <c r="B3983" s="2">
        <v>337.26428924175571</v>
      </c>
    </row>
    <row r="3984" spans="1:2">
      <c r="A3984">
        <v>3983</v>
      </c>
      <c r="B3984" s="2">
        <v>439.84084286696373</v>
      </c>
    </row>
    <row r="3985" spans="1:2">
      <c r="A3985">
        <v>3984</v>
      </c>
      <c r="B3985" s="2">
        <v>368.37971475991878</v>
      </c>
    </row>
    <row r="3986" spans="1:2">
      <c r="A3986">
        <v>3985</v>
      </c>
      <c r="B3986" s="2">
        <v>255.57041386850133</v>
      </c>
    </row>
    <row r="3987" spans="1:2">
      <c r="A3987">
        <v>3986</v>
      </c>
      <c r="B3987" s="2">
        <v>220.68988554610453</v>
      </c>
    </row>
    <row r="3988" spans="1:2">
      <c r="A3988">
        <v>3987</v>
      </c>
      <c r="B3988" s="2">
        <v>315.50849336732063</v>
      </c>
    </row>
    <row r="3989" spans="1:2">
      <c r="A3989">
        <v>3988</v>
      </c>
      <c r="B3989" s="2">
        <v>372.57640211161828</v>
      </c>
    </row>
    <row r="3990" spans="1:2">
      <c r="A3990">
        <v>3989</v>
      </c>
      <c r="B3990" s="2">
        <v>439.48879060325891</v>
      </c>
    </row>
    <row r="3991" spans="1:2">
      <c r="A3991">
        <v>3990</v>
      </c>
      <c r="B3991" s="2">
        <v>309.44492663883454</v>
      </c>
    </row>
    <row r="3992" spans="1:2">
      <c r="A3992">
        <v>3991</v>
      </c>
      <c r="B3992" s="2">
        <v>200.41282716436336</v>
      </c>
    </row>
    <row r="3993" spans="1:2">
      <c r="A3993">
        <v>3992</v>
      </c>
      <c r="B3993" s="2">
        <v>227.21814260443119</v>
      </c>
    </row>
    <row r="3994" spans="1:2">
      <c r="A3994">
        <v>3993</v>
      </c>
      <c r="B3994" s="2">
        <v>376.26623118472304</v>
      </c>
    </row>
    <row r="3995" spans="1:2">
      <c r="A3995">
        <v>3994</v>
      </c>
      <c r="B3995" s="2">
        <v>457.59641871693862</v>
      </c>
    </row>
    <row r="3996" spans="1:2">
      <c r="A3996">
        <v>3995</v>
      </c>
      <c r="B3996" s="2">
        <v>318.53150897012858</v>
      </c>
    </row>
    <row r="3997" spans="1:2">
      <c r="A3997">
        <v>3996</v>
      </c>
      <c r="B3997" s="2">
        <v>309.2979351450752</v>
      </c>
    </row>
    <row r="3998" spans="1:2">
      <c r="A3998">
        <v>3997</v>
      </c>
      <c r="B3998" s="2">
        <v>326.77011663161181</v>
      </c>
    </row>
    <row r="3999" spans="1:2">
      <c r="A3999">
        <v>3998</v>
      </c>
      <c r="B3999" s="2">
        <v>316.46405932039397</v>
      </c>
    </row>
    <row r="4000" spans="1:2">
      <c r="A4000">
        <v>3999</v>
      </c>
      <c r="B4000" s="2">
        <v>219.75695757672068</v>
      </c>
    </row>
    <row r="4001" spans="1:2">
      <c r="A4001">
        <v>4000</v>
      </c>
      <c r="B4001" s="2">
        <v>351.75456837372559</v>
      </c>
    </row>
    <row r="4002" spans="1:2">
      <c r="A4002">
        <v>4001</v>
      </c>
      <c r="B4002" s="2">
        <v>299.75977396457972</v>
      </c>
    </row>
    <row r="4003" spans="1:2">
      <c r="A4003">
        <v>4002</v>
      </c>
      <c r="B4003" s="2">
        <v>292.95221244402575</v>
      </c>
    </row>
    <row r="4004" spans="1:2">
      <c r="A4004">
        <v>4003</v>
      </c>
      <c r="B4004" s="2">
        <v>411.33542725677239</v>
      </c>
    </row>
    <row r="4005" spans="1:2">
      <c r="A4005">
        <v>4004</v>
      </c>
      <c r="B4005" s="2">
        <v>227.84159809269531</v>
      </c>
    </row>
    <row r="4006" spans="1:2">
      <c r="A4006">
        <v>4005</v>
      </c>
      <c r="B4006" s="2">
        <v>388.32912631943788</v>
      </c>
    </row>
    <row r="4007" spans="1:2">
      <c r="A4007">
        <v>4006</v>
      </c>
      <c r="B4007" s="2">
        <v>483.30570270759699</v>
      </c>
    </row>
    <row r="4008" spans="1:2">
      <c r="A4008">
        <v>4007</v>
      </c>
      <c r="B4008" s="2">
        <v>326.4075158806902</v>
      </c>
    </row>
    <row r="4009" spans="1:2">
      <c r="A4009">
        <v>4008</v>
      </c>
      <c r="B4009" s="2">
        <v>347.88010992563545</v>
      </c>
    </row>
    <row r="4010" spans="1:2">
      <c r="A4010">
        <v>4009</v>
      </c>
      <c r="B4010" s="2">
        <v>156.14583436943457</v>
      </c>
    </row>
    <row r="4011" spans="1:2">
      <c r="A4011">
        <v>4010</v>
      </c>
      <c r="B4011" s="2">
        <v>334.21209850680748</v>
      </c>
    </row>
    <row r="4012" spans="1:2">
      <c r="A4012">
        <v>4011</v>
      </c>
      <c r="B4012" s="2">
        <v>302.55392649000805</v>
      </c>
    </row>
    <row r="4013" spans="1:2">
      <c r="A4013">
        <v>4012</v>
      </c>
      <c r="B4013" s="2">
        <v>447.30246361174062</v>
      </c>
    </row>
    <row r="4014" spans="1:2">
      <c r="A4014">
        <v>4013</v>
      </c>
      <c r="B4014" s="2">
        <v>437.40955110206585</v>
      </c>
    </row>
    <row r="4015" spans="1:2">
      <c r="A4015">
        <v>4014</v>
      </c>
      <c r="B4015" s="2">
        <v>275.60503126321561</v>
      </c>
    </row>
    <row r="4016" spans="1:2">
      <c r="A4016">
        <v>4015</v>
      </c>
      <c r="B4016" s="2">
        <v>398.16490026953579</v>
      </c>
    </row>
    <row r="4017" spans="1:2">
      <c r="A4017">
        <v>4016</v>
      </c>
      <c r="B4017" s="2">
        <v>420.05583466387282</v>
      </c>
    </row>
    <row r="4018" spans="1:2">
      <c r="A4018">
        <v>4017</v>
      </c>
      <c r="B4018" s="2">
        <v>248.37431438436468</v>
      </c>
    </row>
    <row r="4019" spans="1:2">
      <c r="A4019">
        <v>4018</v>
      </c>
      <c r="B4019" s="2">
        <v>371.5302328163022</v>
      </c>
    </row>
    <row r="4020" spans="1:2">
      <c r="A4020">
        <v>4019</v>
      </c>
      <c r="B4020" s="2">
        <v>402.46083387161912</v>
      </c>
    </row>
    <row r="4021" spans="1:2">
      <c r="A4021">
        <v>4020</v>
      </c>
      <c r="B4021" s="2">
        <v>327.54761512554478</v>
      </c>
    </row>
    <row r="4022" spans="1:2">
      <c r="A4022">
        <v>4021</v>
      </c>
      <c r="B4022" s="2">
        <v>307.44843786236839</v>
      </c>
    </row>
    <row r="4023" spans="1:2">
      <c r="A4023">
        <v>4022</v>
      </c>
      <c r="B4023" s="2">
        <v>147.98230143527766</v>
      </c>
    </row>
    <row r="4024" spans="1:2">
      <c r="A4024">
        <v>4023</v>
      </c>
      <c r="B4024" s="2">
        <v>454.44507703157194</v>
      </c>
    </row>
    <row r="4025" spans="1:2">
      <c r="A4025">
        <v>4024</v>
      </c>
      <c r="B4025" s="2">
        <v>348.11563643736315</v>
      </c>
    </row>
    <row r="4026" spans="1:2">
      <c r="A4026">
        <v>4025</v>
      </c>
      <c r="B4026" s="2">
        <v>424.71167821884086</v>
      </c>
    </row>
    <row r="4027" spans="1:2">
      <c r="A4027">
        <v>4026</v>
      </c>
      <c r="B4027" s="2">
        <v>405.82067713773409</v>
      </c>
    </row>
    <row r="4028" spans="1:2">
      <c r="A4028">
        <v>4027</v>
      </c>
      <c r="B4028" s="2">
        <v>457.58719270712731</v>
      </c>
    </row>
    <row r="4029" spans="1:2">
      <c r="A4029">
        <v>4028</v>
      </c>
      <c r="B4029" s="2">
        <v>231.0907336942675</v>
      </c>
    </row>
    <row r="4030" spans="1:2">
      <c r="A4030">
        <v>4029</v>
      </c>
      <c r="B4030" s="2">
        <v>350.94499477414092</v>
      </c>
    </row>
    <row r="4031" spans="1:2">
      <c r="A4031">
        <v>4030</v>
      </c>
      <c r="B4031" s="2">
        <v>433.41531104622692</v>
      </c>
    </row>
    <row r="4032" spans="1:2">
      <c r="A4032">
        <v>4031</v>
      </c>
      <c r="B4032" s="2">
        <v>590.90198632258603</v>
      </c>
    </row>
    <row r="4033" spans="1:2">
      <c r="A4033">
        <v>4032</v>
      </c>
      <c r="B4033" s="2">
        <v>299.21739808766654</v>
      </c>
    </row>
    <row r="4034" spans="1:2">
      <c r="A4034">
        <v>4033</v>
      </c>
      <c r="B4034" s="2">
        <v>397.78783182853618</v>
      </c>
    </row>
    <row r="4035" spans="1:2">
      <c r="A4035">
        <v>4034</v>
      </c>
      <c r="B4035" s="2">
        <v>290.6176337950842</v>
      </c>
    </row>
    <row r="4036" spans="1:2">
      <c r="A4036">
        <v>4035</v>
      </c>
      <c r="B4036" s="2">
        <v>360.67669978474379</v>
      </c>
    </row>
    <row r="4037" spans="1:2">
      <c r="A4037">
        <v>4036</v>
      </c>
      <c r="B4037" s="2">
        <v>449.74306353634802</v>
      </c>
    </row>
    <row r="4038" spans="1:2">
      <c r="A4038">
        <v>4037</v>
      </c>
      <c r="B4038" s="2">
        <v>252.48318764049009</v>
      </c>
    </row>
    <row r="4039" spans="1:2">
      <c r="A4039">
        <v>4038</v>
      </c>
      <c r="B4039" s="2">
        <v>265.16359345048693</v>
      </c>
    </row>
    <row r="4040" spans="1:2">
      <c r="A4040">
        <v>4039</v>
      </c>
      <c r="B4040" s="2">
        <v>288.89749584858316</v>
      </c>
    </row>
    <row r="4041" spans="1:2">
      <c r="A4041">
        <v>4040</v>
      </c>
      <c r="B4041" s="2">
        <v>322.77967909631133</v>
      </c>
    </row>
    <row r="4042" spans="1:2">
      <c r="A4042">
        <v>4041</v>
      </c>
      <c r="B4042" s="2">
        <v>363.09728241213895</v>
      </c>
    </row>
    <row r="4043" spans="1:2">
      <c r="A4043">
        <v>4042</v>
      </c>
      <c r="B4043" s="2">
        <v>351.23219129748679</v>
      </c>
    </row>
    <row r="4044" spans="1:2">
      <c r="A4044">
        <v>4043</v>
      </c>
      <c r="B4044" s="2">
        <v>211.662684037681</v>
      </c>
    </row>
    <row r="4045" spans="1:2">
      <c r="A4045">
        <v>4044</v>
      </c>
      <c r="B4045" s="2">
        <v>252.60819808427655</v>
      </c>
    </row>
    <row r="4046" spans="1:2">
      <c r="A4046">
        <v>4045</v>
      </c>
      <c r="B4046" s="2">
        <v>424.9764446257098</v>
      </c>
    </row>
    <row r="4047" spans="1:2">
      <c r="A4047">
        <v>4046</v>
      </c>
      <c r="B4047" s="2">
        <v>292.29641082928936</v>
      </c>
    </row>
    <row r="4048" spans="1:2">
      <c r="A4048">
        <v>4047</v>
      </c>
      <c r="B4048" s="2">
        <v>313.36994119487645</v>
      </c>
    </row>
    <row r="4049" spans="1:2">
      <c r="A4049">
        <v>4048</v>
      </c>
      <c r="B4049" s="2">
        <v>415.60010375941192</v>
      </c>
    </row>
    <row r="4050" spans="1:2">
      <c r="A4050">
        <v>4049</v>
      </c>
      <c r="B4050" s="2">
        <v>361.80098682792237</v>
      </c>
    </row>
    <row r="4051" spans="1:2">
      <c r="A4051">
        <v>4050</v>
      </c>
      <c r="B4051" s="2">
        <v>368.76943733412588</v>
      </c>
    </row>
    <row r="4052" spans="1:2">
      <c r="A4052">
        <v>4051</v>
      </c>
      <c r="B4052" s="2">
        <v>281.25899916581295</v>
      </c>
    </row>
    <row r="4053" spans="1:2">
      <c r="A4053">
        <v>4052</v>
      </c>
      <c r="B4053" s="2">
        <v>402.60590530432728</v>
      </c>
    </row>
    <row r="4054" spans="1:2">
      <c r="A4054">
        <v>4053</v>
      </c>
      <c r="B4054" s="2">
        <v>502.9692266398439</v>
      </c>
    </row>
    <row r="4055" spans="1:2">
      <c r="A4055">
        <v>4054</v>
      </c>
      <c r="B4055" s="2">
        <v>281.92642984607551</v>
      </c>
    </row>
    <row r="4056" spans="1:2">
      <c r="A4056">
        <v>4055</v>
      </c>
      <c r="B4056" s="2">
        <v>292.33331620060187</v>
      </c>
    </row>
    <row r="4057" spans="1:2">
      <c r="A4057">
        <v>4056</v>
      </c>
      <c r="B4057" s="2">
        <v>356.14128996446163</v>
      </c>
    </row>
    <row r="4058" spans="1:2">
      <c r="A4058">
        <v>4057</v>
      </c>
      <c r="B4058" s="2">
        <v>258.47020386882207</v>
      </c>
    </row>
    <row r="4059" spans="1:2">
      <c r="A4059">
        <v>4058</v>
      </c>
      <c r="B4059" s="2">
        <v>443.45641284831567</v>
      </c>
    </row>
    <row r="4060" spans="1:2">
      <c r="A4060">
        <v>4059</v>
      </c>
      <c r="B4060" s="2">
        <v>430.45281916168705</v>
      </c>
    </row>
    <row r="4061" spans="1:2">
      <c r="A4061">
        <v>4060</v>
      </c>
      <c r="B4061" s="2">
        <v>398.41288935718717</v>
      </c>
    </row>
    <row r="4062" spans="1:2">
      <c r="A4062">
        <v>4061</v>
      </c>
      <c r="B4062" s="2">
        <v>409.18671698611439</v>
      </c>
    </row>
    <row r="4063" spans="1:2">
      <c r="A4063">
        <v>4062</v>
      </c>
      <c r="B4063" s="2">
        <v>446.16400104802341</v>
      </c>
    </row>
    <row r="4064" spans="1:2">
      <c r="A4064">
        <v>4063</v>
      </c>
      <c r="B4064" s="2">
        <v>208.79743532749251</v>
      </c>
    </row>
    <row r="4065" spans="1:2">
      <c r="A4065">
        <v>4064</v>
      </c>
      <c r="B4065" s="2">
        <v>481.055107176089</v>
      </c>
    </row>
    <row r="4066" spans="1:2">
      <c r="A4066">
        <v>4065</v>
      </c>
      <c r="B4066" s="2">
        <v>374.59048225647075</v>
      </c>
    </row>
    <row r="4067" spans="1:2">
      <c r="A4067">
        <v>4066</v>
      </c>
      <c r="B4067" s="2">
        <v>322.32906517010952</v>
      </c>
    </row>
    <row r="4068" spans="1:2">
      <c r="A4068">
        <v>4067</v>
      </c>
      <c r="B4068" s="2">
        <v>191.85538764497716</v>
      </c>
    </row>
    <row r="4069" spans="1:2">
      <c r="A4069">
        <v>4068</v>
      </c>
      <c r="B4069" s="2">
        <v>267.68483509016505</v>
      </c>
    </row>
    <row r="4070" spans="1:2">
      <c r="A4070">
        <v>4069</v>
      </c>
      <c r="B4070" s="2">
        <v>414.19350570228124</v>
      </c>
    </row>
    <row r="4071" spans="1:2">
      <c r="A4071">
        <v>4070</v>
      </c>
      <c r="B4071" s="2">
        <v>448.20382868789574</v>
      </c>
    </row>
    <row r="4072" spans="1:2">
      <c r="A4072">
        <v>4071</v>
      </c>
      <c r="B4072" s="2">
        <v>357.08672857708285</v>
      </c>
    </row>
    <row r="4073" spans="1:2">
      <c r="A4073">
        <v>4072</v>
      </c>
      <c r="B4073" s="2">
        <v>334.57423120475215</v>
      </c>
    </row>
    <row r="4074" spans="1:2">
      <c r="A4074">
        <v>4073</v>
      </c>
      <c r="B4074" s="2">
        <v>319.81856871331263</v>
      </c>
    </row>
    <row r="4075" spans="1:2">
      <c r="A4075">
        <v>4074</v>
      </c>
      <c r="B4075" s="2">
        <v>281.05849373921694</v>
      </c>
    </row>
    <row r="4076" spans="1:2">
      <c r="A4076">
        <v>4075</v>
      </c>
      <c r="B4076" s="2">
        <v>309.95519224564816</v>
      </c>
    </row>
    <row r="4077" spans="1:2">
      <c r="A4077">
        <v>4076</v>
      </c>
      <c r="B4077" s="2">
        <v>390.97967603529685</v>
      </c>
    </row>
    <row r="4078" spans="1:2">
      <c r="A4078">
        <v>4077</v>
      </c>
      <c r="B4078" s="2">
        <v>301.1725731729</v>
      </c>
    </row>
    <row r="4079" spans="1:2">
      <c r="A4079">
        <v>4078</v>
      </c>
      <c r="B4079" s="2">
        <v>303.25899955219137</v>
      </c>
    </row>
    <row r="4080" spans="1:2">
      <c r="A4080">
        <v>4079</v>
      </c>
      <c r="B4080" s="2">
        <v>433.82035125553966</v>
      </c>
    </row>
    <row r="4081" spans="1:2">
      <c r="A4081">
        <v>4080</v>
      </c>
      <c r="B4081" s="2">
        <v>291.28613318876489</v>
      </c>
    </row>
    <row r="4082" spans="1:2">
      <c r="A4082">
        <v>4081</v>
      </c>
      <c r="B4082" s="2">
        <v>299.64254655973627</v>
      </c>
    </row>
    <row r="4083" spans="1:2">
      <c r="A4083">
        <v>4082</v>
      </c>
      <c r="B4083" s="2">
        <v>245.76431375889331</v>
      </c>
    </row>
    <row r="4084" spans="1:2">
      <c r="A4084">
        <v>4083</v>
      </c>
      <c r="B4084" s="2">
        <v>359.58391748133306</v>
      </c>
    </row>
    <row r="4085" spans="1:2">
      <c r="A4085">
        <v>4084</v>
      </c>
      <c r="B4085" s="2">
        <v>319.47797911081784</v>
      </c>
    </row>
    <row r="4086" spans="1:2">
      <c r="A4086">
        <v>4085</v>
      </c>
      <c r="B4086" s="2">
        <v>364.30848142243622</v>
      </c>
    </row>
    <row r="4087" spans="1:2">
      <c r="A4087">
        <v>4086</v>
      </c>
      <c r="B4087" s="2">
        <v>305.12117363552341</v>
      </c>
    </row>
    <row r="4088" spans="1:2">
      <c r="A4088">
        <v>4087</v>
      </c>
      <c r="B4088" s="2">
        <v>452.70134018929389</v>
      </c>
    </row>
    <row r="4089" spans="1:2">
      <c r="A4089">
        <v>4088</v>
      </c>
      <c r="B4089" s="2">
        <v>351.71983554967687</v>
      </c>
    </row>
    <row r="4090" spans="1:2">
      <c r="A4090">
        <v>4089</v>
      </c>
      <c r="B4090" s="2">
        <v>378.81811845412437</v>
      </c>
    </row>
    <row r="4091" spans="1:2">
      <c r="A4091">
        <v>4090</v>
      </c>
      <c r="B4091" s="2">
        <v>418.17764970402675</v>
      </c>
    </row>
    <row r="4092" spans="1:2">
      <c r="A4092">
        <v>4091</v>
      </c>
      <c r="B4092" s="2">
        <v>393.21142143659438</v>
      </c>
    </row>
    <row r="4093" spans="1:2">
      <c r="A4093">
        <v>4092</v>
      </c>
      <c r="B4093" s="2">
        <v>398.53229695750332</v>
      </c>
    </row>
    <row r="4094" spans="1:2">
      <c r="A4094">
        <v>4093</v>
      </c>
      <c r="B4094" s="2">
        <v>442.30464758362882</v>
      </c>
    </row>
    <row r="4095" spans="1:2">
      <c r="A4095">
        <v>4094</v>
      </c>
      <c r="B4095" s="2">
        <v>326.73653407265715</v>
      </c>
    </row>
    <row r="4096" spans="1:2">
      <c r="A4096">
        <v>4095</v>
      </c>
      <c r="B4096" s="2">
        <v>161.15204334785932</v>
      </c>
    </row>
    <row r="4097" spans="1:2">
      <c r="A4097">
        <v>4096</v>
      </c>
      <c r="B4097" s="2">
        <v>370.31999471650636</v>
      </c>
    </row>
    <row r="4098" spans="1:2">
      <c r="A4098">
        <v>4097</v>
      </c>
      <c r="B4098" s="2">
        <v>377.48309658885501</v>
      </c>
    </row>
    <row r="4099" spans="1:2">
      <c r="A4099">
        <v>4098</v>
      </c>
      <c r="B4099" s="2">
        <v>392.46293195771852</v>
      </c>
    </row>
    <row r="4100" spans="1:2">
      <c r="A4100">
        <v>4099</v>
      </c>
      <c r="B4100" s="2">
        <v>394.57353942597769</v>
      </c>
    </row>
    <row r="4101" spans="1:2">
      <c r="A4101">
        <v>4100</v>
      </c>
      <c r="B4101" s="2">
        <v>293.85419440703288</v>
      </c>
    </row>
    <row r="4102" spans="1:2">
      <c r="A4102">
        <v>4101</v>
      </c>
      <c r="B4102" s="2">
        <v>323.59499584532949</v>
      </c>
    </row>
    <row r="4103" spans="1:2">
      <c r="A4103">
        <v>4102</v>
      </c>
      <c r="B4103" s="2">
        <v>160.06647346772786</v>
      </c>
    </row>
    <row r="4104" spans="1:2">
      <c r="A4104">
        <v>4103</v>
      </c>
      <c r="B4104" s="2">
        <v>367.41428246159478</v>
      </c>
    </row>
    <row r="4105" spans="1:2">
      <c r="A4105">
        <v>4104</v>
      </c>
      <c r="B4105" s="2">
        <v>355.90476536392663</v>
      </c>
    </row>
    <row r="4106" spans="1:2">
      <c r="A4106">
        <v>4105</v>
      </c>
      <c r="B4106" s="2">
        <v>344.42811431887964</v>
      </c>
    </row>
    <row r="4107" spans="1:2">
      <c r="A4107">
        <v>4106</v>
      </c>
      <c r="B4107" s="2">
        <v>382.62028627627149</v>
      </c>
    </row>
    <row r="4108" spans="1:2">
      <c r="A4108">
        <v>4107</v>
      </c>
      <c r="B4108" s="2">
        <v>204.18395470828722</v>
      </c>
    </row>
    <row r="4109" spans="1:2">
      <c r="A4109">
        <v>4108</v>
      </c>
      <c r="B4109" s="2">
        <v>422.51802351320282</v>
      </c>
    </row>
    <row r="4110" spans="1:2">
      <c r="A4110">
        <v>4109</v>
      </c>
      <c r="B4110" s="2">
        <v>388.23619102572957</v>
      </c>
    </row>
    <row r="4111" spans="1:2">
      <c r="A4111">
        <v>4110</v>
      </c>
      <c r="B4111" s="2">
        <v>246.53765737693607</v>
      </c>
    </row>
    <row r="4112" spans="1:2">
      <c r="A4112">
        <v>4111</v>
      </c>
      <c r="B4112" s="2">
        <v>384.37675112985283</v>
      </c>
    </row>
    <row r="4113" spans="1:2">
      <c r="A4113">
        <v>4112</v>
      </c>
      <c r="B4113" s="2">
        <v>338.3751266546152</v>
      </c>
    </row>
    <row r="4114" spans="1:2">
      <c r="A4114">
        <v>4113</v>
      </c>
      <c r="B4114" s="2">
        <v>242.54273662310015</v>
      </c>
    </row>
    <row r="4115" spans="1:2">
      <c r="A4115">
        <v>4114</v>
      </c>
      <c r="B4115" s="2">
        <v>370.12509208572106</v>
      </c>
    </row>
    <row r="4116" spans="1:2">
      <c r="A4116">
        <v>4115</v>
      </c>
      <c r="B4116" s="2">
        <v>404.98217068835572</v>
      </c>
    </row>
    <row r="4117" spans="1:2">
      <c r="A4117">
        <v>4116</v>
      </c>
      <c r="B4117" s="2">
        <v>348.53279041119265</v>
      </c>
    </row>
    <row r="4118" spans="1:2">
      <c r="A4118">
        <v>4117</v>
      </c>
      <c r="B4118" s="2">
        <v>422.95290427744067</v>
      </c>
    </row>
    <row r="4119" spans="1:2">
      <c r="A4119">
        <v>4118</v>
      </c>
      <c r="B4119" s="2">
        <v>347.05416275747734</v>
      </c>
    </row>
    <row r="4120" spans="1:2">
      <c r="A4120">
        <v>4119</v>
      </c>
      <c r="B4120" s="2">
        <v>297.16249841769564</v>
      </c>
    </row>
    <row r="4121" spans="1:2">
      <c r="A4121">
        <v>4120</v>
      </c>
      <c r="B4121" s="2">
        <v>314.47231154104054</v>
      </c>
    </row>
    <row r="4122" spans="1:2">
      <c r="A4122">
        <v>4121</v>
      </c>
      <c r="B4122" s="2">
        <v>287.07562590621046</v>
      </c>
    </row>
    <row r="4123" spans="1:2">
      <c r="A4123">
        <v>4122</v>
      </c>
      <c r="B4123" s="2">
        <v>323.79452510581882</v>
      </c>
    </row>
    <row r="4124" spans="1:2">
      <c r="A4124">
        <v>4123</v>
      </c>
      <c r="B4124" s="2">
        <v>400.93686340055967</v>
      </c>
    </row>
    <row r="4125" spans="1:2">
      <c r="A4125">
        <v>4124</v>
      </c>
      <c r="B4125" s="2">
        <v>425.80314734550933</v>
      </c>
    </row>
    <row r="4126" spans="1:2">
      <c r="A4126">
        <v>4125</v>
      </c>
      <c r="B4126" s="2">
        <v>394.1736666255569</v>
      </c>
    </row>
    <row r="4127" spans="1:2">
      <c r="A4127">
        <v>4126</v>
      </c>
      <c r="B4127" s="2">
        <v>478.97051383503111</v>
      </c>
    </row>
    <row r="4128" spans="1:2">
      <c r="A4128">
        <v>4127</v>
      </c>
      <c r="B4128" s="2">
        <v>358.54532528968934</v>
      </c>
    </row>
    <row r="4129" spans="1:2">
      <c r="A4129">
        <v>4128</v>
      </c>
      <c r="B4129" s="2">
        <v>311.03266879037182</v>
      </c>
    </row>
    <row r="4130" spans="1:2">
      <c r="A4130">
        <v>4129</v>
      </c>
      <c r="B4130" s="2">
        <v>179.74904589562018</v>
      </c>
    </row>
    <row r="4131" spans="1:2">
      <c r="A4131">
        <v>4130</v>
      </c>
      <c r="B4131" s="2">
        <v>319.88995675327192</v>
      </c>
    </row>
    <row r="4132" spans="1:2">
      <c r="A4132">
        <v>4131</v>
      </c>
      <c r="B4132" s="2">
        <v>204.00209393646313</v>
      </c>
    </row>
    <row r="4133" spans="1:2">
      <c r="A4133">
        <v>4132</v>
      </c>
      <c r="B4133" s="2">
        <v>359.90329176224679</v>
      </c>
    </row>
    <row r="4134" spans="1:2">
      <c r="A4134">
        <v>4133</v>
      </c>
      <c r="B4134" s="2">
        <v>270.87081702790516</v>
      </c>
    </row>
    <row r="4135" spans="1:2">
      <c r="A4135">
        <v>4134</v>
      </c>
      <c r="B4135" s="2">
        <v>409.11437710868677</v>
      </c>
    </row>
    <row r="4136" spans="1:2">
      <c r="A4136">
        <v>4135</v>
      </c>
      <c r="B4136" s="2">
        <v>339.87461775073064</v>
      </c>
    </row>
    <row r="4137" spans="1:2">
      <c r="A4137">
        <v>4136</v>
      </c>
      <c r="B4137" s="2">
        <v>294.31607420924638</v>
      </c>
    </row>
    <row r="4138" spans="1:2">
      <c r="A4138">
        <v>4137</v>
      </c>
      <c r="B4138" s="2">
        <v>344.33627347954086</v>
      </c>
    </row>
    <row r="4139" spans="1:2">
      <c r="A4139">
        <v>4138</v>
      </c>
      <c r="B4139" s="2">
        <v>379.369802786479</v>
      </c>
    </row>
    <row r="4140" spans="1:2">
      <c r="A4140">
        <v>4139</v>
      </c>
      <c r="B4140" s="2">
        <v>400.23265286015555</v>
      </c>
    </row>
    <row r="4141" spans="1:2">
      <c r="A4141">
        <v>4140</v>
      </c>
      <c r="B4141" s="2">
        <v>300.5075131986481</v>
      </c>
    </row>
    <row r="4142" spans="1:2">
      <c r="A4142">
        <v>4141</v>
      </c>
      <c r="B4142" s="2">
        <v>382.44538246815671</v>
      </c>
    </row>
    <row r="4143" spans="1:2">
      <c r="A4143">
        <v>4142</v>
      </c>
      <c r="B4143" s="2">
        <v>355.75247825065048</v>
      </c>
    </row>
    <row r="4144" spans="1:2">
      <c r="A4144">
        <v>4143</v>
      </c>
      <c r="B4144" s="2">
        <v>289.57359338892866</v>
      </c>
    </row>
    <row r="4145" spans="1:2">
      <c r="A4145">
        <v>4144</v>
      </c>
      <c r="B4145" s="2">
        <v>258.25620454301873</v>
      </c>
    </row>
    <row r="4146" spans="1:2">
      <c r="A4146">
        <v>4145</v>
      </c>
      <c r="B4146" s="2">
        <v>285.18443917378755</v>
      </c>
    </row>
    <row r="4147" spans="1:2">
      <c r="A4147">
        <v>4146</v>
      </c>
      <c r="B4147" s="2">
        <v>322.2682038677795</v>
      </c>
    </row>
    <row r="4148" spans="1:2">
      <c r="A4148">
        <v>4147</v>
      </c>
      <c r="B4148" s="2">
        <v>377.71010534457844</v>
      </c>
    </row>
    <row r="4149" spans="1:2">
      <c r="A4149">
        <v>4148</v>
      </c>
      <c r="B4149" s="2">
        <v>330.97017538304522</v>
      </c>
    </row>
    <row r="4150" spans="1:2">
      <c r="A4150">
        <v>4149</v>
      </c>
      <c r="B4150" s="2">
        <v>314.82178438725947</v>
      </c>
    </row>
    <row r="4151" spans="1:2">
      <c r="A4151">
        <v>4150</v>
      </c>
      <c r="B4151" s="2">
        <v>406.50338872454398</v>
      </c>
    </row>
    <row r="4152" spans="1:2">
      <c r="A4152">
        <v>4151</v>
      </c>
      <c r="B4152" s="2">
        <v>309.76222078984745</v>
      </c>
    </row>
    <row r="4153" spans="1:2">
      <c r="A4153">
        <v>4152</v>
      </c>
      <c r="B4153" s="2">
        <v>415.80915541456068</v>
      </c>
    </row>
    <row r="4154" spans="1:2">
      <c r="A4154">
        <v>4153</v>
      </c>
      <c r="B4154" s="2">
        <v>165.55697634593457</v>
      </c>
    </row>
    <row r="4155" spans="1:2">
      <c r="A4155">
        <v>4154</v>
      </c>
      <c r="B4155" s="2">
        <v>460.19829635311169</v>
      </c>
    </row>
    <row r="4156" spans="1:2">
      <c r="A4156">
        <v>4155</v>
      </c>
      <c r="B4156" s="2">
        <v>252.94812017909814</v>
      </c>
    </row>
    <row r="4157" spans="1:2">
      <c r="A4157">
        <v>4156</v>
      </c>
      <c r="B4157" s="2">
        <v>408.45621422036521</v>
      </c>
    </row>
    <row r="4158" spans="1:2">
      <c r="A4158">
        <v>4157</v>
      </c>
      <c r="B4158" s="2">
        <v>420.80498495291192</v>
      </c>
    </row>
    <row r="4159" spans="1:2">
      <c r="A4159">
        <v>4158</v>
      </c>
      <c r="B4159" s="2">
        <v>384.20384557568309</v>
      </c>
    </row>
    <row r="4160" spans="1:2">
      <c r="A4160">
        <v>4159</v>
      </c>
      <c r="B4160" s="2">
        <v>386.20167666048121</v>
      </c>
    </row>
    <row r="4161" spans="1:2">
      <c r="A4161">
        <v>4160</v>
      </c>
      <c r="B4161" s="2">
        <v>520.22701415377242</v>
      </c>
    </row>
    <row r="4162" spans="1:2">
      <c r="A4162">
        <v>4161</v>
      </c>
      <c r="B4162" s="2">
        <v>498.44910211397979</v>
      </c>
    </row>
    <row r="4163" spans="1:2">
      <c r="A4163">
        <v>4162</v>
      </c>
      <c r="B4163" s="2">
        <v>301.81504792274359</v>
      </c>
    </row>
    <row r="4164" spans="1:2">
      <c r="A4164">
        <v>4163</v>
      </c>
      <c r="B4164" s="2">
        <v>357.85984834307749</v>
      </c>
    </row>
    <row r="4165" spans="1:2">
      <c r="A4165">
        <v>4164</v>
      </c>
      <c r="B4165" s="2">
        <v>295.66350153208526</v>
      </c>
    </row>
    <row r="4166" spans="1:2">
      <c r="A4166">
        <v>4165</v>
      </c>
      <c r="B4166" s="2">
        <v>378.90901050247601</v>
      </c>
    </row>
    <row r="4167" spans="1:2">
      <c r="A4167">
        <v>4166</v>
      </c>
      <c r="B4167" s="2">
        <v>286.89283501016354</v>
      </c>
    </row>
    <row r="4168" spans="1:2">
      <c r="A4168">
        <v>4167</v>
      </c>
      <c r="B4168" s="2">
        <v>265.98332048287415</v>
      </c>
    </row>
    <row r="4169" spans="1:2">
      <c r="A4169">
        <v>4168</v>
      </c>
      <c r="B4169" s="2">
        <v>232.15050785955268</v>
      </c>
    </row>
    <row r="4170" spans="1:2">
      <c r="A4170">
        <v>4169</v>
      </c>
      <c r="B4170" s="2">
        <v>196.74916108358127</v>
      </c>
    </row>
    <row r="4171" spans="1:2">
      <c r="A4171">
        <v>4170</v>
      </c>
      <c r="B4171" s="2">
        <v>381.06997572440787</v>
      </c>
    </row>
    <row r="4172" spans="1:2">
      <c r="A4172">
        <v>4171</v>
      </c>
      <c r="B4172" s="2">
        <v>344.27017979420714</v>
      </c>
    </row>
    <row r="4173" spans="1:2">
      <c r="A4173">
        <v>4172</v>
      </c>
      <c r="B4173" s="2">
        <v>448.65748227892902</v>
      </c>
    </row>
    <row r="4174" spans="1:2">
      <c r="A4174">
        <v>4173</v>
      </c>
      <c r="B4174" s="2">
        <v>201.61681364994072</v>
      </c>
    </row>
    <row r="4175" spans="1:2">
      <c r="A4175">
        <v>4174</v>
      </c>
      <c r="B4175" s="2">
        <v>336.53687912881787</v>
      </c>
    </row>
    <row r="4176" spans="1:2">
      <c r="A4176">
        <v>4175</v>
      </c>
      <c r="B4176" s="2">
        <v>285.93043991186528</v>
      </c>
    </row>
    <row r="4177" spans="1:2">
      <c r="A4177">
        <v>4176</v>
      </c>
      <c r="B4177" s="2">
        <v>369.25011741125957</v>
      </c>
    </row>
    <row r="4178" spans="1:2">
      <c r="A4178">
        <v>4177</v>
      </c>
      <c r="B4178" s="2">
        <v>429.20496839116288</v>
      </c>
    </row>
    <row r="4179" spans="1:2">
      <c r="A4179">
        <v>4178</v>
      </c>
      <c r="B4179" s="2">
        <v>254.75400715212666</v>
      </c>
    </row>
    <row r="4180" spans="1:2">
      <c r="A4180">
        <v>4179</v>
      </c>
      <c r="B4180" s="2">
        <v>364.70024528521321</v>
      </c>
    </row>
    <row r="4181" spans="1:2">
      <c r="A4181">
        <v>4180</v>
      </c>
      <c r="B4181" s="2">
        <v>293.92519706580634</v>
      </c>
    </row>
    <row r="4182" spans="1:2">
      <c r="A4182">
        <v>4181</v>
      </c>
      <c r="B4182" s="2">
        <v>338.04562222398022</v>
      </c>
    </row>
    <row r="4183" spans="1:2">
      <c r="A4183">
        <v>4182</v>
      </c>
      <c r="B4183" s="2">
        <v>376.87657281395695</v>
      </c>
    </row>
    <row r="4184" spans="1:2">
      <c r="A4184">
        <v>4183</v>
      </c>
      <c r="B4184" s="2">
        <v>361.94086971965748</v>
      </c>
    </row>
    <row r="4185" spans="1:2">
      <c r="A4185">
        <v>4184</v>
      </c>
      <c r="B4185" s="2">
        <v>503.70470334605159</v>
      </c>
    </row>
    <row r="4186" spans="1:2">
      <c r="A4186">
        <v>4185</v>
      </c>
      <c r="B4186" s="2">
        <v>373.92059590816177</v>
      </c>
    </row>
    <row r="4187" spans="1:2">
      <c r="A4187">
        <v>4186</v>
      </c>
      <c r="B4187" s="2">
        <v>207.47646265585604</v>
      </c>
    </row>
    <row r="4188" spans="1:2">
      <c r="A4188">
        <v>4187</v>
      </c>
      <c r="B4188" s="2">
        <v>375.31846253743527</v>
      </c>
    </row>
    <row r="4189" spans="1:2">
      <c r="A4189">
        <v>4188</v>
      </c>
      <c r="B4189" s="2">
        <v>390.38104985299719</v>
      </c>
    </row>
    <row r="4190" spans="1:2">
      <c r="A4190">
        <v>4189</v>
      </c>
      <c r="B4190" s="2">
        <v>291.76697523815875</v>
      </c>
    </row>
    <row r="4191" spans="1:2">
      <c r="A4191">
        <v>4190</v>
      </c>
      <c r="B4191" s="2">
        <v>209.61863022350317</v>
      </c>
    </row>
    <row r="4192" spans="1:2">
      <c r="A4192">
        <v>4191</v>
      </c>
      <c r="B4192" s="2">
        <v>375.22886067615389</v>
      </c>
    </row>
    <row r="4193" spans="1:2">
      <c r="A4193">
        <v>4192</v>
      </c>
      <c r="B4193" s="2">
        <v>364.15887414110182</v>
      </c>
    </row>
    <row r="4194" spans="1:2">
      <c r="A4194">
        <v>4193</v>
      </c>
      <c r="B4194" s="2">
        <v>436.04670172777526</v>
      </c>
    </row>
    <row r="4195" spans="1:2">
      <c r="A4195">
        <v>4194</v>
      </c>
      <c r="B4195" s="2">
        <v>326.9377253158932</v>
      </c>
    </row>
    <row r="4196" spans="1:2">
      <c r="A4196">
        <v>4195</v>
      </c>
      <c r="B4196" s="2">
        <v>253.04810705636785</v>
      </c>
    </row>
    <row r="4197" spans="1:2">
      <c r="A4197">
        <v>4196</v>
      </c>
      <c r="B4197" s="2">
        <v>294.84352263467633</v>
      </c>
    </row>
    <row r="4198" spans="1:2">
      <c r="A4198">
        <v>4197</v>
      </c>
      <c r="B4198" s="2">
        <v>309.55489188426623</v>
      </c>
    </row>
    <row r="4199" spans="1:2">
      <c r="A4199">
        <v>4198</v>
      </c>
      <c r="B4199" s="2">
        <v>453.45153470910157</v>
      </c>
    </row>
    <row r="4200" spans="1:2">
      <c r="A4200">
        <v>4199</v>
      </c>
      <c r="B4200" s="2">
        <v>446.75670189402769</v>
      </c>
    </row>
    <row r="4201" spans="1:2">
      <c r="A4201">
        <v>4200</v>
      </c>
      <c r="B4201" s="2">
        <v>333.25648591756499</v>
      </c>
    </row>
    <row r="4202" spans="1:2">
      <c r="A4202">
        <v>4201</v>
      </c>
      <c r="B4202" s="2">
        <v>385.42640220680926</v>
      </c>
    </row>
    <row r="4203" spans="1:2">
      <c r="A4203">
        <v>4202</v>
      </c>
      <c r="B4203" s="2">
        <v>349.94453687764116</v>
      </c>
    </row>
    <row r="4204" spans="1:2">
      <c r="A4204">
        <v>4203</v>
      </c>
      <c r="B4204" s="2">
        <v>408.82128710000478</v>
      </c>
    </row>
    <row r="4205" spans="1:2">
      <c r="A4205">
        <v>4204</v>
      </c>
      <c r="B4205" s="2">
        <v>441.10746052146294</v>
      </c>
    </row>
    <row r="4206" spans="1:2">
      <c r="A4206">
        <v>4205</v>
      </c>
      <c r="B4206" s="2">
        <v>458.87011598623519</v>
      </c>
    </row>
    <row r="4207" spans="1:2">
      <c r="A4207">
        <v>4206</v>
      </c>
      <c r="B4207" s="2">
        <v>352.82492903896116</v>
      </c>
    </row>
    <row r="4208" spans="1:2">
      <c r="A4208">
        <v>4207</v>
      </c>
      <c r="B4208" s="2">
        <v>413.5373359066067</v>
      </c>
    </row>
    <row r="4209" spans="1:2">
      <c r="A4209">
        <v>4208</v>
      </c>
      <c r="B4209" s="2">
        <v>316.47244852701965</v>
      </c>
    </row>
    <row r="4210" spans="1:2">
      <c r="A4210">
        <v>4209</v>
      </c>
      <c r="B4210" s="2">
        <v>384.07710924458434</v>
      </c>
    </row>
    <row r="4211" spans="1:2">
      <c r="A4211">
        <v>4210</v>
      </c>
      <c r="B4211" s="2">
        <v>344.14492947400333</v>
      </c>
    </row>
    <row r="4212" spans="1:2">
      <c r="A4212">
        <v>4211</v>
      </c>
      <c r="B4212" s="2">
        <v>354.743444834706</v>
      </c>
    </row>
    <row r="4213" spans="1:2">
      <c r="A4213">
        <v>4212</v>
      </c>
      <c r="B4213" s="2">
        <v>267.92669742821454</v>
      </c>
    </row>
    <row r="4214" spans="1:2">
      <c r="A4214">
        <v>4213</v>
      </c>
      <c r="B4214" s="2">
        <v>303.45617518560044</v>
      </c>
    </row>
    <row r="4215" spans="1:2">
      <c r="A4215">
        <v>4214</v>
      </c>
      <c r="B4215" s="2">
        <v>470.64725648831018</v>
      </c>
    </row>
    <row r="4216" spans="1:2">
      <c r="A4216">
        <v>4215</v>
      </c>
      <c r="B4216" s="2">
        <v>370.18120056641692</v>
      </c>
    </row>
    <row r="4217" spans="1:2">
      <c r="A4217">
        <v>4216</v>
      </c>
      <c r="B4217" s="2">
        <v>215.73293443684608</v>
      </c>
    </row>
    <row r="4218" spans="1:2">
      <c r="A4218">
        <v>4217</v>
      </c>
      <c r="B4218" s="2">
        <v>348.41263942545447</v>
      </c>
    </row>
    <row r="4219" spans="1:2">
      <c r="A4219">
        <v>4218</v>
      </c>
      <c r="B4219" s="2">
        <v>239.21123805906183</v>
      </c>
    </row>
    <row r="4220" spans="1:2">
      <c r="A4220">
        <v>4219</v>
      </c>
      <c r="B4220" s="2">
        <v>482.24003013911749</v>
      </c>
    </row>
    <row r="4221" spans="1:2">
      <c r="A4221">
        <v>4220</v>
      </c>
      <c r="B4221" s="2">
        <v>349.01165231161457</v>
      </c>
    </row>
    <row r="4222" spans="1:2">
      <c r="A4222">
        <v>4221</v>
      </c>
      <c r="B4222" s="2">
        <v>304.71664063050576</v>
      </c>
    </row>
    <row r="4223" spans="1:2">
      <c r="A4223">
        <v>4222</v>
      </c>
      <c r="B4223" s="2">
        <v>300.89208827752498</v>
      </c>
    </row>
    <row r="4224" spans="1:2">
      <c r="A4224">
        <v>4223</v>
      </c>
      <c r="B4224" s="2">
        <v>445.09120874006902</v>
      </c>
    </row>
    <row r="4225" spans="1:2">
      <c r="A4225">
        <v>4224</v>
      </c>
      <c r="B4225" s="2">
        <v>266.01608937693294</v>
      </c>
    </row>
    <row r="4226" spans="1:2">
      <c r="A4226">
        <v>4225</v>
      </c>
      <c r="B4226" s="2">
        <v>289.79130600028873</v>
      </c>
    </row>
    <row r="4227" spans="1:2">
      <c r="A4227">
        <v>4226</v>
      </c>
      <c r="B4227" s="2">
        <v>280.8054622625113</v>
      </c>
    </row>
    <row r="4228" spans="1:2">
      <c r="A4228">
        <v>4227</v>
      </c>
      <c r="B4228" s="2">
        <v>438.80678763176468</v>
      </c>
    </row>
    <row r="4229" spans="1:2">
      <c r="A4229">
        <v>4228</v>
      </c>
      <c r="B4229" s="2">
        <v>292.33509766879797</v>
      </c>
    </row>
    <row r="4230" spans="1:2">
      <c r="A4230">
        <v>4229</v>
      </c>
      <c r="B4230" s="2">
        <v>219.22007684023313</v>
      </c>
    </row>
    <row r="4231" spans="1:2">
      <c r="A4231">
        <v>4230</v>
      </c>
      <c r="B4231" s="2">
        <v>272.26680579019762</v>
      </c>
    </row>
    <row r="4232" spans="1:2">
      <c r="A4232">
        <v>4231</v>
      </c>
      <c r="B4232" s="2">
        <v>265.49322282718026</v>
      </c>
    </row>
    <row r="4233" spans="1:2">
      <c r="A4233">
        <v>4232</v>
      </c>
      <c r="B4233" s="2">
        <v>516.12260735286111</v>
      </c>
    </row>
    <row r="4234" spans="1:2">
      <c r="A4234">
        <v>4233</v>
      </c>
      <c r="B4234" s="2">
        <v>403.6219107764345</v>
      </c>
    </row>
    <row r="4235" spans="1:2">
      <c r="A4235">
        <v>4234</v>
      </c>
      <c r="B4235" s="2">
        <v>445.28918098341023</v>
      </c>
    </row>
    <row r="4236" spans="1:2">
      <c r="A4236">
        <v>4235</v>
      </c>
      <c r="B4236" s="2">
        <v>364.19160031880597</v>
      </c>
    </row>
    <row r="4237" spans="1:2">
      <c r="A4237">
        <v>4236</v>
      </c>
      <c r="B4237" s="2">
        <v>451.42966876249852</v>
      </c>
    </row>
    <row r="4238" spans="1:2">
      <c r="A4238">
        <v>4237</v>
      </c>
      <c r="B4238" s="2">
        <v>438.42153971958703</v>
      </c>
    </row>
    <row r="4239" spans="1:2">
      <c r="A4239">
        <v>4238</v>
      </c>
      <c r="B4239" s="2">
        <v>494.39011414235813</v>
      </c>
    </row>
    <row r="4240" spans="1:2">
      <c r="A4240">
        <v>4239</v>
      </c>
      <c r="B4240" s="2">
        <v>375.24452783607569</v>
      </c>
    </row>
    <row r="4241" spans="1:2">
      <c r="A4241">
        <v>4240</v>
      </c>
      <c r="B4241" s="2">
        <v>344.7709752683042</v>
      </c>
    </row>
    <row r="4242" spans="1:2">
      <c r="A4242">
        <v>4241</v>
      </c>
      <c r="B4242" s="2">
        <v>359.55563313213725</v>
      </c>
    </row>
    <row r="4243" spans="1:2">
      <c r="A4243">
        <v>4242</v>
      </c>
      <c r="B4243" s="2">
        <v>335.20984187196871</v>
      </c>
    </row>
    <row r="4244" spans="1:2">
      <c r="A4244">
        <v>4243</v>
      </c>
      <c r="B4244" s="2">
        <v>462.01799090651059</v>
      </c>
    </row>
    <row r="4245" spans="1:2">
      <c r="A4245">
        <v>4244</v>
      </c>
      <c r="B4245" s="2">
        <v>413.94312960680111</v>
      </c>
    </row>
    <row r="4246" spans="1:2">
      <c r="A4246">
        <v>4245</v>
      </c>
      <c r="B4246" s="2">
        <v>312.32188372677905</v>
      </c>
    </row>
    <row r="4247" spans="1:2">
      <c r="A4247">
        <v>4246</v>
      </c>
      <c r="B4247" s="2">
        <v>454.83068865869143</v>
      </c>
    </row>
    <row r="4248" spans="1:2">
      <c r="A4248">
        <v>4247</v>
      </c>
      <c r="B4248" s="2">
        <v>374.85521824625459</v>
      </c>
    </row>
    <row r="4249" spans="1:2">
      <c r="A4249">
        <v>4248</v>
      </c>
      <c r="B4249" s="2">
        <v>538.77584759973797</v>
      </c>
    </row>
    <row r="4250" spans="1:2">
      <c r="A4250">
        <v>4249</v>
      </c>
      <c r="B4250" s="2">
        <v>276.55265224263542</v>
      </c>
    </row>
    <row r="4251" spans="1:2">
      <c r="A4251">
        <v>4250</v>
      </c>
      <c r="B4251" s="2">
        <v>226.79852426868564</v>
      </c>
    </row>
    <row r="4252" spans="1:2">
      <c r="A4252">
        <v>4251</v>
      </c>
      <c r="B4252" s="2">
        <v>334.49764325189528</v>
      </c>
    </row>
    <row r="4253" spans="1:2">
      <c r="A4253">
        <v>4252</v>
      </c>
      <c r="B4253" s="2">
        <v>272.58975384755803</v>
      </c>
    </row>
    <row r="4254" spans="1:2">
      <c r="A4254">
        <v>4253</v>
      </c>
      <c r="B4254" s="2">
        <v>325.51730598745138</v>
      </c>
    </row>
    <row r="4255" spans="1:2">
      <c r="A4255">
        <v>4254</v>
      </c>
      <c r="B4255" s="2">
        <v>414.90601897859619</v>
      </c>
    </row>
    <row r="4256" spans="1:2">
      <c r="A4256">
        <v>4255</v>
      </c>
      <c r="B4256" s="2">
        <v>275.84685984544757</v>
      </c>
    </row>
    <row r="4257" spans="1:2">
      <c r="A4257">
        <v>4256</v>
      </c>
      <c r="B4257" s="2">
        <v>367.00934437820979</v>
      </c>
    </row>
    <row r="4258" spans="1:2">
      <c r="A4258">
        <v>4257</v>
      </c>
      <c r="B4258" s="2">
        <v>416.09972809102038</v>
      </c>
    </row>
    <row r="4259" spans="1:2">
      <c r="A4259">
        <v>4258</v>
      </c>
      <c r="B4259" s="2">
        <v>381.85573608004654</v>
      </c>
    </row>
    <row r="4260" spans="1:2">
      <c r="A4260">
        <v>4259</v>
      </c>
      <c r="B4260" s="2">
        <v>312.81489841378186</v>
      </c>
    </row>
    <row r="4261" spans="1:2">
      <c r="A4261">
        <v>4260</v>
      </c>
      <c r="B4261" s="2">
        <v>354.2935974925025</v>
      </c>
    </row>
    <row r="4262" spans="1:2">
      <c r="A4262">
        <v>4261</v>
      </c>
      <c r="B4262" s="2">
        <v>68.703884385525072</v>
      </c>
    </row>
    <row r="4263" spans="1:2">
      <c r="A4263">
        <v>4262</v>
      </c>
      <c r="B4263" s="2">
        <v>378.96147284864003</v>
      </c>
    </row>
    <row r="4264" spans="1:2">
      <c r="A4264">
        <v>4263</v>
      </c>
      <c r="B4264" s="2">
        <v>438.60074485550149</v>
      </c>
    </row>
    <row r="4265" spans="1:2">
      <c r="A4265">
        <v>4264</v>
      </c>
      <c r="B4265" s="2">
        <v>289.45851159476166</v>
      </c>
    </row>
    <row r="4266" spans="1:2">
      <c r="A4266">
        <v>4265</v>
      </c>
      <c r="B4266" s="2">
        <v>359.94195408411179</v>
      </c>
    </row>
    <row r="4267" spans="1:2">
      <c r="A4267">
        <v>4266</v>
      </c>
      <c r="B4267" s="2">
        <v>351.67042157102657</v>
      </c>
    </row>
    <row r="4268" spans="1:2">
      <c r="A4268">
        <v>4267</v>
      </c>
      <c r="B4268" s="2">
        <v>515.26451548269335</v>
      </c>
    </row>
    <row r="4269" spans="1:2">
      <c r="A4269">
        <v>4268</v>
      </c>
      <c r="B4269" s="2">
        <v>402.29571538759211</v>
      </c>
    </row>
    <row r="4270" spans="1:2">
      <c r="A4270">
        <v>4269</v>
      </c>
      <c r="B4270" s="2">
        <v>398.36908990116535</v>
      </c>
    </row>
    <row r="4271" spans="1:2">
      <c r="A4271">
        <v>4270</v>
      </c>
      <c r="B4271" s="2">
        <v>304.33835419610682</v>
      </c>
    </row>
    <row r="4272" spans="1:2">
      <c r="A4272">
        <v>4271</v>
      </c>
      <c r="B4272" s="2">
        <v>357.26313640332705</v>
      </c>
    </row>
    <row r="4273" spans="1:2">
      <c r="A4273">
        <v>4272</v>
      </c>
      <c r="B4273" s="2">
        <v>370.37390477481961</v>
      </c>
    </row>
    <row r="4274" spans="1:2">
      <c r="A4274">
        <v>4273</v>
      </c>
      <c r="B4274" s="2">
        <v>307.54293118066073</v>
      </c>
    </row>
    <row r="4275" spans="1:2">
      <c r="A4275">
        <v>4274</v>
      </c>
      <c r="B4275" s="2">
        <v>265.5337333874989</v>
      </c>
    </row>
    <row r="4276" spans="1:2">
      <c r="A4276">
        <v>4275</v>
      </c>
      <c r="B4276" s="2">
        <v>379.42631814822414</v>
      </c>
    </row>
    <row r="4277" spans="1:2">
      <c r="A4277">
        <v>4276</v>
      </c>
      <c r="B4277" s="2">
        <v>379.40568732743259</v>
      </c>
    </row>
    <row r="4278" spans="1:2">
      <c r="A4278">
        <v>4277</v>
      </c>
      <c r="B4278" s="2">
        <v>244.82422549930371</v>
      </c>
    </row>
    <row r="4279" spans="1:2">
      <c r="A4279">
        <v>4278</v>
      </c>
      <c r="B4279" s="2">
        <v>296.13292309197448</v>
      </c>
    </row>
    <row r="4280" spans="1:2">
      <c r="A4280">
        <v>4279</v>
      </c>
      <c r="B4280" s="2">
        <v>309.87875294193475</v>
      </c>
    </row>
    <row r="4281" spans="1:2">
      <c r="A4281">
        <v>4280</v>
      </c>
      <c r="B4281" s="2">
        <v>381.29697954682848</v>
      </c>
    </row>
    <row r="4282" spans="1:2">
      <c r="A4282">
        <v>4281</v>
      </c>
      <c r="B4282" s="2">
        <v>432.71697773151664</v>
      </c>
    </row>
    <row r="4283" spans="1:2">
      <c r="A4283">
        <v>4282</v>
      </c>
      <c r="B4283" s="2">
        <v>451.77207235655328</v>
      </c>
    </row>
    <row r="4284" spans="1:2">
      <c r="A4284">
        <v>4283</v>
      </c>
      <c r="B4284" s="2">
        <v>357.16317692602007</v>
      </c>
    </row>
    <row r="4285" spans="1:2">
      <c r="A4285">
        <v>4284</v>
      </c>
      <c r="B4285" s="2">
        <v>324.21964154575153</v>
      </c>
    </row>
    <row r="4286" spans="1:2">
      <c r="A4286">
        <v>4285</v>
      </c>
      <c r="B4286" s="2">
        <v>423.3416637411442</v>
      </c>
    </row>
    <row r="4287" spans="1:2">
      <c r="A4287">
        <v>4286</v>
      </c>
      <c r="B4287" s="2">
        <v>295.12198760155377</v>
      </c>
    </row>
    <row r="4288" spans="1:2">
      <c r="A4288">
        <v>4287</v>
      </c>
      <c r="B4288" s="2">
        <v>383.05382661196967</v>
      </c>
    </row>
    <row r="4289" spans="1:2">
      <c r="A4289">
        <v>4288</v>
      </c>
      <c r="B4289" s="2">
        <v>256.61568204305661</v>
      </c>
    </row>
    <row r="4290" spans="1:2">
      <c r="A4290">
        <v>4289</v>
      </c>
      <c r="B4290" s="2">
        <v>299.32832874945939</v>
      </c>
    </row>
    <row r="4291" spans="1:2">
      <c r="A4291">
        <v>4290</v>
      </c>
      <c r="B4291" s="2">
        <v>371.97134311764876</v>
      </c>
    </row>
    <row r="4292" spans="1:2">
      <c r="A4292">
        <v>4291</v>
      </c>
      <c r="B4292" s="2">
        <v>401.43966915561828</v>
      </c>
    </row>
    <row r="4293" spans="1:2">
      <c r="A4293">
        <v>4292</v>
      </c>
      <c r="B4293" s="2">
        <v>412.03549365749012</v>
      </c>
    </row>
    <row r="4294" spans="1:2">
      <c r="A4294">
        <v>4293</v>
      </c>
      <c r="B4294" s="2">
        <v>315.39515640173869</v>
      </c>
    </row>
    <row r="4295" spans="1:2">
      <c r="A4295">
        <v>4294</v>
      </c>
      <c r="B4295" s="2">
        <v>365.04559914276217</v>
      </c>
    </row>
    <row r="4296" spans="1:2">
      <c r="A4296">
        <v>4295</v>
      </c>
      <c r="B4296" s="2">
        <v>416.97870376546706</v>
      </c>
    </row>
    <row r="4297" spans="1:2">
      <c r="A4297">
        <v>4296</v>
      </c>
      <c r="B4297" s="2">
        <v>486.15344453750242</v>
      </c>
    </row>
    <row r="4298" spans="1:2">
      <c r="A4298">
        <v>4297</v>
      </c>
      <c r="B4298" s="2">
        <v>336.09475455334075</v>
      </c>
    </row>
    <row r="4299" spans="1:2">
      <c r="A4299">
        <v>4298</v>
      </c>
      <c r="B4299" s="2">
        <v>360.94371057551626</v>
      </c>
    </row>
    <row r="4300" spans="1:2">
      <c r="A4300">
        <v>4299</v>
      </c>
      <c r="B4300" s="2">
        <v>205.16123048948407</v>
      </c>
    </row>
    <row r="4301" spans="1:2">
      <c r="A4301">
        <v>4300</v>
      </c>
      <c r="B4301" s="2">
        <v>256.47441893091724</v>
      </c>
    </row>
    <row r="4302" spans="1:2">
      <c r="A4302">
        <v>4301</v>
      </c>
      <c r="B4302" s="2">
        <v>416.78010679997044</v>
      </c>
    </row>
    <row r="4303" spans="1:2">
      <c r="A4303">
        <v>4302</v>
      </c>
      <c r="B4303" s="2">
        <v>366.27886004940564</v>
      </c>
    </row>
    <row r="4304" spans="1:2">
      <c r="A4304">
        <v>4303</v>
      </c>
      <c r="B4304" s="2">
        <v>355.04020337859527</v>
      </c>
    </row>
    <row r="4305" spans="1:2">
      <c r="A4305">
        <v>4304</v>
      </c>
      <c r="B4305" s="2">
        <v>264.8628036035276</v>
      </c>
    </row>
    <row r="4306" spans="1:2">
      <c r="A4306">
        <v>4305</v>
      </c>
      <c r="B4306" s="2">
        <v>227.09613418595663</v>
      </c>
    </row>
    <row r="4307" spans="1:2">
      <c r="A4307">
        <v>4306</v>
      </c>
      <c r="B4307" s="2">
        <v>402.42165308735923</v>
      </c>
    </row>
    <row r="4308" spans="1:2">
      <c r="A4308">
        <v>4307</v>
      </c>
      <c r="B4308" s="2">
        <v>324.42733000529978</v>
      </c>
    </row>
    <row r="4309" spans="1:2">
      <c r="A4309">
        <v>4308</v>
      </c>
      <c r="B4309" s="2">
        <v>265.85239713998078</v>
      </c>
    </row>
    <row r="4310" spans="1:2">
      <c r="A4310">
        <v>4309</v>
      </c>
      <c r="B4310" s="2">
        <v>275.33934376415255</v>
      </c>
    </row>
    <row r="4311" spans="1:2">
      <c r="A4311">
        <v>4310</v>
      </c>
      <c r="B4311" s="2">
        <v>361.4975920166288</v>
      </c>
    </row>
    <row r="4312" spans="1:2">
      <c r="A4312">
        <v>4311</v>
      </c>
      <c r="B4312" s="2">
        <v>358.18213686101728</v>
      </c>
    </row>
    <row r="4313" spans="1:2">
      <c r="A4313">
        <v>4312</v>
      </c>
      <c r="B4313" s="2">
        <v>338.98092679741637</v>
      </c>
    </row>
    <row r="4314" spans="1:2">
      <c r="A4314">
        <v>4313</v>
      </c>
      <c r="B4314" s="2">
        <v>387.79997267156847</v>
      </c>
    </row>
    <row r="4315" spans="1:2">
      <c r="A4315">
        <v>4314</v>
      </c>
      <c r="B4315" s="2">
        <v>338.15527280674394</v>
      </c>
    </row>
    <row r="4316" spans="1:2">
      <c r="A4316">
        <v>4315</v>
      </c>
      <c r="B4316" s="2">
        <v>340.19679615821383</v>
      </c>
    </row>
    <row r="4317" spans="1:2">
      <c r="A4317">
        <v>4316</v>
      </c>
      <c r="B4317" s="2">
        <v>353.17582422897544</v>
      </c>
    </row>
    <row r="4318" spans="1:2">
      <c r="A4318">
        <v>4317</v>
      </c>
      <c r="B4318" s="2">
        <v>465.62631989577926</v>
      </c>
    </row>
    <row r="4319" spans="1:2">
      <c r="A4319">
        <v>4318</v>
      </c>
      <c r="B4319" s="2">
        <v>259.25580852645322</v>
      </c>
    </row>
    <row r="4320" spans="1:2">
      <c r="A4320">
        <v>4319</v>
      </c>
      <c r="B4320" s="2">
        <v>451.88694928953345</v>
      </c>
    </row>
    <row r="4321" spans="1:2">
      <c r="A4321">
        <v>4320</v>
      </c>
      <c r="B4321" s="2">
        <v>363.69343878556151</v>
      </c>
    </row>
    <row r="4322" spans="1:2">
      <c r="A4322">
        <v>4321</v>
      </c>
      <c r="B4322" s="2">
        <v>342.71905827129547</v>
      </c>
    </row>
    <row r="4323" spans="1:2">
      <c r="A4323">
        <v>4322</v>
      </c>
      <c r="B4323" s="2">
        <v>343.63673254503141</v>
      </c>
    </row>
    <row r="4324" spans="1:2">
      <c r="A4324">
        <v>4323</v>
      </c>
      <c r="B4324" s="2">
        <v>406.8409627010135</v>
      </c>
    </row>
    <row r="4325" spans="1:2">
      <c r="A4325">
        <v>4324</v>
      </c>
      <c r="B4325" s="2">
        <v>210.82675628102641</v>
      </c>
    </row>
    <row r="4326" spans="1:2">
      <c r="A4326">
        <v>4325</v>
      </c>
      <c r="B4326" s="2">
        <v>480.86905902712908</v>
      </c>
    </row>
    <row r="4327" spans="1:2">
      <c r="A4327">
        <v>4326</v>
      </c>
      <c r="B4327" s="2">
        <v>173.59957545159</v>
      </c>
    </row>
    <row r="4328" spans="1:2">
      <c r="A4328">
        <v>4327</v>
      </c>
      <c r="B4328" s="2">
        <v>280.9650845187245</v>
      </c>
    </row>
    <row r="4329" spans="1:2">
      <c r="A4329">
        <v>4328</v>
      </c>
      <c r="B4329" s="2">
        <v>329.28267524022965</v>
      </c>
    </row>
    <row r="4330" spans="1:2">
      <c r="A4330">
        <v>4329</v>
      </c>
      <c r="B4330" s="2">
        <v>338.81237426173305</v>
      </c>
    </row>
    <row r="4331" spans="1:2">
      <c r="A4331">
        <v>4330</v>
      </c>
      <c r="B4331" s="2">
        <v>305.06676241150302</v>
      </c>
    </row>
    <row r="4332" spans="1:2">
      <c r="A4332">
        <v>4331</v>
      </c>
      <c r="B4332" s="2">
        <v>245.2506539732513</v>
      </c>
    </row>
    <row r="4333" spans="1:2">
      <c r="A4333">
        <v>4332</v>
      </c>
      <c r="B4333" s="2">
        <v>246.99923654598766</v>
      </c>
    </row>
    <row r="4334" spans="1:2">
      <c r="A4334">
        <v>4333</v>
      </c>
      <c r="B4334" s="2">
        <v>179.08313710241504</v>
      </c>
    </row>
    <row r="4335" spans="1:2">
      <c r="A4335">
        <v>4334</v>
      </c>
      <c r="B4335" s="2">
        <v>297.72862049352341</v>
      </c>
    </row>
    <row r="4336" spans="1:2">
      <c r="A4336">
        <v>4335</v>
      </c>
      <c r="B4336" s="2">
        <v>454.17453777685927</v>
      </c>
    </row>
    <row r="4337" spans="1:2">
      <c r="A4337">
        <v>4336</v>
      </c>
      <c r="B4337" s="2">
        <v>305.6427771927286</v>
      </c>
    </row>
    <row r="4338" spans="1:2">
      <c r="A4338">
        <v>4337</v>
      </c>
      <c r="B4338" s="2">
        <v>387.99888643899828</v>
      </c>
    </row>
    <row r="4339" spans="1:2">
      <c r="A4339">
        <v>4338</v>
      </c>
      <c r="B4339" s="2">
        <v>364.62383631569935</v>
      </c>
    </row>
    <row r="4340" spans="1:2">
      <c r="A4340">
        <v>4339</v>
      </c>
      <c r="B4340" s="2">
        <v>279.29224311692815</v>
      </c>
    </row>
    <row r="4341" spans="1:2">
      <c r="A4341">
        <v>4340</v>
      </c>
      <c r="B4341" s="2">
        <v>168.45959311282797</v>
      </c>
    </row>
    <row r="4342" spans="1:2">
      <c r="A4342">
        <v>4341</v>
      </c>
      <c r="B4342" s="2">
        <v>368.86088163372301</v>
      </c>
    </row>
    <row r="4343" spans="1:2">
      <c r="A4343">
        <v>4342</v>
      </c>
      <c r="B4343" s="2">
        <v>148.03596640400158</v>
      </c>
    </row>
    <row r="4344" spans="1:2">
      <c r="A4344">
        <v>4343</v>
      </c>
      <c r="B4344" s="2">
        <v>394.27356922698613</v>
      </c>
    </row>
    <row r="4345" spans="1:2">
      <c r="A4345">
        <v>4344</v>
      </c>
      <c r="B4345" s="2">
        <v>397.83231951579171</v>
      </c>
    </row>
    <row r="4346" spans="1:2">
      <c r="A4346">
        <v>4345</v>
      </c>
      <c r="B4346" s="2">
        <v>349.8976373142176</v>
      </c>
    </row>
    <row r="4347" spans="1:2">
      <c r="A4347">
        <v>4346</v>
      </c>
      <c r="B4347" s="2">
        <v>331.03320041420432</v>
      </c>
    </row>
    <row r="4348" spans="1:2">
      <c r="A4348">
        <v>4347</v>
      </c>
      <c r="B4348" s="2">
        <v>378.70394421684716</v>
      </c>
    </row>
    <row r="4349" spans="1:2">
      <c r="A4349">
        <v>4348</v>
      </c>
      <c r="B4349" s="2">
        <v>340.13947314136124</v>
      </c>
    </row>
    <row r="4350" spans="1:2">
      <c r="A4350">
        <v>4349</v>
      </c>
      <c r="B4350" s="2">
        <v>387.1585979892011</v>
      </c>
    </row>
    <row r="4351" spans="1:2">
      <c r="A4351">
        <v>4350</v>
      </c>
      <c r="B4351" s="2">
        <v>191.8045088350392</v>
      </c>
    </row>
    <row r="4352" spans="1:2">
      <c r="A4352">
        <v>4351</v>
      </c>
      <c r="B4352" s="2">
        <v>244.36191325663367</v>
      </c>
    </row>
    <row r="4353" spans="1:2">
      <c r="A4353">
        <v>4352</v>
      </c>
      <c r="B4353" s="2">
        <v>239.20523792431922</v>
      </c>
    </row>
    <row r="4354" spans="1:2">
      <c r="A4354">
        <v>4353</v>
      </c>
      <c r="B4354" s="2">
        <v>336.19312721116319</v>
      </c>
    </row>
    <row r="4355" spans="1:2">
      <c r="A4355">
        <v>4354</v>
      </c>
      <c r="B4355" s="2">
        <v>299.37825495850552</v>
      </c>
    </row>
    <row r="4356" spans="1:2">
      <c r="A4356">
        <v>4355</v>
      </c>
      <c r="B4356" s="2">
        <v>370.61310574050469</v>
      </c>
    </row>
    <row r="4357" spans="1:2">
      <c r="A4357">
        <v>4356</v>
      </c>
      <c r="B4357" s="2">
        <v>448.92560522481779</v>
      </c>
    </row>
    <row r="4358" spans="1:2">
      <c r="A4358">
        <v>4357</v>
      </c>
      <c r="B4358" s="2">
        <v>464.81524591748359</v>
      </c>
    </row>
    <row r="4359" spans="1:2">
      <c r="A4359">
        <v>4358</v>
      </c>
      <c r="B4359" s="2">
        <v>256.97647601982845</v>
      </c>
    </row>
    <row r="4360" spans="1:2">
      <c r="A4360">
        <v>4359</v>
      </c>
      <c r="B4360" s="2">
        <v>434.37866848321403</v>
      </c>
    </row>
    <row r="4361" spans="1:2">
      <c r="A4361">
        <v>4360</v>
      </c>
      <c r="B4361" s="2">
        <v>425.94097606033472</v>
      </c>
    </row>
    <row r="4362" spans="1:2">
      <c r="A4362">
        <v>4361</v>
      </c>
      <c r="B4362" s="2">
        <v>321.684078094901</v>
      </c>
    </row>
    <row r="4363" spans="1:2">
      <c r="A4363">
        <v>4362</v>
      </c>
      <c r="B4363" s="2">
        <v>324.21214951577474</v>
      </c>
    </row>
    <row r="4364" spans="1:2">
      <c r="A4364">
        <v>4363</v>
      </c>
      <c r="B4364" s="2">
        <v>438.67544454574693</v>
      </c>
    </row>
    <row r="4365" spans="1:2">
      <c r="A4365">
        <v>4364</v>
      </c>
      <c r="B4365" s="2">
        <v>310.39182681549909</v>
      </c>
    </row>
    <row r="4366" spans="1:2">
      <c r="A4366">
        <v>4365</v>
      </c>
      <c r="B4366" s="2">
        <v>188.25260372463438</v>
      </c>
    </row>
    <row r="4367" spans="1:2">
      <c r="A4367">
        <v>4366</v>
      </c>
      <c r="B4367" s="2">
        <v>435.78704324163408</v>
      </c>
    </row>
    <row r="4368" spans="1:2">
      <c r="A4368">
        <v>4367</v>
      </c>
      <c r="B4368" s="2">
        <v>428.63632484145643</v>
      </c>
    </row>
    <row r="4369" spans="1:2">
      <c r="A4369">
        <v>4368</v>
      </c>
      <c r="B4369" s="2">
        <v>338.70133581378303</v>
      </c>
    </row>
    <row r="4370" spans="1:2">
      <c r="A4370">
        <v>4369</v>
      </c>
      <c r="B4370" s="2">
        <v>341.89759931723029</v>
      </c>
    </row>
    <row r="4371" spans="1:2">
      <c r="A4371">
        <v>4370</v>
      </c>
      <c r="B4371" s="2">
        <v>359.46013855809088</v>
      </c>
    </row>
    <row r="4372" spans="1:2">
      <c r="A4372">
        <v>4371</v>
      </c>
      <c r="B4372" s="2">
        <v>441.79992490053201</v>
      </c>
    </row>
    <row r="4373" spans="1:2">
      <c r="A4373">
        <v>4372</v>
      </c>
      <c r="B4373" s="2">
        <v>236.52451694129286</v>
      </c>
    </row>
    <row r="4374" spans="1:2">
      <c r="A4374">
        <v>4373</v>
      </c>
      <c r="B4374" s="2">
        <v>183.59332715399592</v>
      </c>
    </row>
    <row r="4375" spans="1:2">
      <c r="A4375">
        <v>4374</v>
      </c>
      <c r="B4375" s="2">
        <v>371.65640174564118</v>
      </c>
    </row>
    <row r="4376" spans="1:2">
      <c r="A4376">
        <v>4375</v>
      </c>
      <c r="B4376" s="2">
        <v>261.14798222889357</v>
      </c>
    </row>
    <row r="4377" spans="1:2">
      <c r="A4377">
        <v>4376</v>
      </c>
      <c r="B4377" s="2">
        <v>401.10117236776023</v>
      </c>
    </row>
    <row r="4378" spans="1:2">
      <c r="A4378">
        <v>4377</v>
      </c>
      <c r="B4378" s="2">
        <v>278.14195915503512</v>
      </c>
    </row>
    <row r="4379" spans="1:2">
      <c r="A4379">
        <v>4378</v>
      </c>
      <c r="B4379" s="2">
        <v>238.24701557489209</v>
      </c>
    </row>
    <row r="4380" spans="1:2">
      <c r="A4380">
        <v>4379</v>
      </c>
      <c r="B4380" s="2">
        <v>539.99057477835356</v>
      </c>
    </row>
    <row r="4381" spans="1:2">
      <c r="A4381">
        <v>4380</v>
      </c>
      <c r="B4381" s="2">
        <v>428.90114160652467</v>
      </c>
    </row>
    <row r="4382" spans="1:2">
      <c r="A4382">
        <v>4381</v>
      </c>
      <c r="B4382" s="2">
        <v>410.13338900336282</v>
      </c>
    </row>
    <row r="4383" spans="1:2">
      <c r="A4383">
        <v>4382</v>
      </c>
      <c r="B4383" s="2">
        <v>264.55796377088024</v>
      </c>
    </row>
    <row r="4384" spans="1:2">
      <c r="A4384">
        <v>4383</v>
      </c>
      <c r="B4384" s="2">
        <v>400.93513386724345</v>
      </c>
    </row>
    <row r="4385" spans="1:2">
      <c r="A4385">
        <v>4384</v>
      </c>
      <c r="B4385" s="2">
        <v>410.24864294292615</v>
      </c>
    </row>
    <row r="4386" spans="1:2">
      <c r="A4386">
        <v>4385</v>
      </c>
      <c r="B4386" s="2">
        <v>352.39297890926514</v>
      </c>
    </row>
    <row r="4387" spans="1:2">
      <c r="A4387">
        <v>4386</v>
      </c>
      <c r="B4387" s="2">
        <v>346.81305422652343</v>
      </c>
    </row>
    <row r="4388" spans="1:2">
      <c r="A4388">
        <v>4387</v>
      </c>
      <c r="B4388" s="2">
        <v>255.83132933172749</v>
      </c>
    </row>
    <row r="4389" spans="1:2">
      <c r="A4389">
        <v>4388</v>
      </c>
      <c r="B4389" s="2">
        <v>389.33436449210956</v>
      </c>
    </row>
    <row r="4390" spans="1:2">
      <c r="A4390">
        <v>4389</v>
      </c>
      <c r="B4390" s="2">
        <v>161.66782186826555</v>
      </c>
    </row>
    <row r="4391" spans="1:2">
      <c r="A4391">
        <v>4390</v>
      </c>
      <c r="B4391" s="2">
        <v>221.57612999677207</v>
      </c>
    </row>
    <row r="4392" spans="1:2">
      <c r="A4392">
        <v>4391</v>
      </c>
      <c r="B4392" s="2">
        <v>208.27927225093765</v>
      </c>
    </row>
    <row r="4393" spans="1:2">
      <c r="A4393">
        <v>4392</v>
      </c>
      <c r="B4393" s="2">
        <v>399.89469106421046</v>
      </c>
    </row>
    <row r="4394" spans="1:2">
      <c r="A4394">
        <v>4393</v>
      </c>
      <c r="B4394" s="2">
        <v>398.20266382330033</v>
      </c>
    </row>
    <row r="4395" spans="1:2">
      <c r="A4395">
        <v>4394</v>
      </c>
      <c r="B4395" s="2">
        <v>201.12900365602752</v>
      </c>
    </row>
    <row r="4396" spans="1:2">
      <c r="A4396">
        <v>4395</v>
      </c>
      <c r="B4396" s="2">
        <v>364.62999307884138</v>
      </c>
    </row>
    <row r="4397" spans="1:2">
      <c r="A4397">
        <v>4396</v>
      </c>
      <c r="B4397" s="2">
        <v>293.74212268813346</v>
      </c>
    </row>
    <row r="4398" spans="1:2">
      <c r="A4398">
        <v>4397</v>
      </c>
      <c r="B4398" s="2">
        <v>461.01508987605359</v>
      </c>
    </row>
    <row r="4399" spans="1:2">
      <c r="A4399">
        <v>4398</v>
      </c>
      <c r="B4399" s="2">
        <v>282.37218485530036</v>
      </c>
    </row>
    <row r="4400" spans="1:2">
      <c r="A4400">
        <v>4399</v>
      </c>
      <c r="B4400" s="2">
        <v>382.41139717648724</v>
      </c>
    </row>
    <row r="4401" spans="1:2">
      <c r="A4401">
        <v>4400</v>
      </c>
      <c r="B4401" s="2">
        <v>356.13854449226608</v>
      </c>
    </row>
    <row r="4402" spans="1:2">
      <c r="A4402">
        <v>4401</v>
      </c>
      <c r="B4402" s="2">
        <v>427.50193132022684</v>
      </c>
    </row>
    <row r="4403" spans="1:2">
      <c r="A4403">
        <v>4402</v>
      </c>
      <c r="B4403" s="2">
        <v>332.11194248492302</v>
      </c>
    </row>
    <row r="4404" spans="1:2">
      <c r="A4404">
        <v>4403</v>
      </c>
      <c r="B4404" s="2">
        <v>326.10604507460846</v>
      </c>
    </row>
    <row r="4405" spans="1:2">
      <c r="A4405">
        <v>4404</v>
      </c>
      <c r="B4405" s="2">
        <v>262.69016149796653</v>
      </c>
    </row>
    <row r="4406" spans="1:2">
      <c r="A4406">
        <v>4405</v>
      </c>
      <c r="B4406" s="2">
        <v>391.08532768112525</v>
      </c>
    </row>
    <row r="4407" spans="1:2">
      <c r="A4407">
        <v>4406</v>
      </c>
      <c r="B4407" s="2">
        <v>317.12342556189998</v>
      </c>
    </row>
    <row r="4408" spans="1:2">
      <c r="A4408">
        <v>4407</v>
      </c>
      <c r="B4408" s="2">
        <v>354.89061524467655</v>
      </c>
    </row>
    <row r="4409" spans="1:2">
      <c r="A4409">
        <v>4408</v>
      </c>
      <c r="B4409" s="2">
        <v>336.78339832599318</v>
      </c>
    </row>
    <row r="4410" spans="1:2">
      <c r="A4410">
        <v>4409</v>
      </c>
      <c r="B4410" s="2">
        <v>279.53162000911857</v>
      </c>
    </row>
    <row r="4411" spans="1:2">
      <c r="A4411">
        <v>4410</v>
      </c>
      <c r="B4411" s="2">
        <v>425.12813167281729</v>
      </c>
    </row>
    <row r="4412" spans="1:2">
      <c r="A4412">
        <v>4411</v>
      </c>
      <c r="B4412" s="2">
        <v>382.03385289917298</v>
      </c>
    </row>
    <row r="4413" spans="1:2">
      <c r="A4413">
        <v>4412</v>
      </c>
      <c r="B4413" s="2">
        <v>161.25844346113541</v>
      </c>
    </row>
    <row r="4414" spans="1:2">
      <c r="A4414">
        <v>4413</v>
      </c>
      <c r="B4414" s="2">
        <v>374.38129766251961</v>
      </c>
    </row>
    <row r="4415" spans="1:2">
      <c r="A4415">
        <v>4414</v>
      </c>
      <c r="B4415" s="2">
        <v>336.20914589087852</v>
      </c>
    </row>
    <row r="4416" spans="1:2">
      <c r="A4416">
        <v>4415</v>
      </c>
      <c r="B4416" s="2">
        <v>405.68230241116555</v>
      </c>
    </row>
    <row r="4417" spans="1:2">
      <c r="A4417">
        <v>4416</v>
      </c>
      <c r="B4417" s="2">
        <v>441.53692091665823</v>
      </c>
    </row>
    <row r="4418" spans="1:2">
      <c r="A4418">
        <v>4417</v>
      </c>
      <c r="B4418" s="2">
        <v>286.10259728007935</v>
      </c>
    </row>
    <row r="4419" spans="1:2">
      <c r="A4419">
        <v>4418</v>
      </c>
      <c r="B4419" s="2">
        <v>396.97991333225315</v>
      </c>
    </row>
    <row r="4420" spans="1:2">
      <c r="A4420">
        <v>4419</v>
      </c>
      <c r="B4420" s="2">
        <v>363.98156921002169</v>
      </c>
    </row>
    <row r="4421" spans="1:2">
      <c r="A4421">
        <v>4420</v>
      </c>
      <c r="B4421" s="2">
        <v>332.87664901987773</v>
      </c>
    </row>
    <row r="4422" spans="1:2">
      <c r="A4422">
        <v>4421</v>
      </c>
      <c r="B4422" s="2">
        <v>352.34847160414245</v>
      </c>
    </row>
    <row r="4423" spans="1:2">
      <c r="A4423">
        <v>4422</v>
      </c>
      <c r="B4423" s="2">
        <v>347.69324090704254</v>
      </c>
    </row>
    <row r="4424" spans="1:2">
      <c r="A4424">
        <v>4423</v>
      </c>
      <c r="B4424" s="2">
        <v>328.8911010671365</v>
      </c>
    </row>
    <row r="4425" spans="1:2">
      <c r="A4425">
        <v>4424</v>
      </c>
      <c r="B4425" s="2">
        <v>276.36270708269387</v>
      </c>
    </row>
    <row r="4426" spans="1:2">
      <c r="A4426">
        <v>4425</v>
      </c>
      <c r="B4426" s="2">
        <v>328.77165950535777</v>
      </c>
    </row>
    <row r="4427" spans="1:2">
      <c r="A4427">
        <v>4426</v>
      </c>
      <c r="B4427" s="2">
        <v>245.86564686939465</v>
      </c>
    </row>
    <row r="4428" spans="1:2">
      <c r="A4428">
        <v>4427</v>
      </c>
      <c r="B4428" s="2">
        <v>241.56932712286599</v>
      </c>
    </row>
    <row r="4429" spans="1:2">
      <c r="A4429">
        <v>4428</v>
      </c>
      <c r="B4429" s="2">
        <v>395.26908218751316</v>
      </c>
    </row>
    <row r="4430" spans="1:2">
      <c r="A4430">
        <v>4429</v>
      </c>
      <c r="B4430" s="2">
        <v>184.87483247981612</v>
      </c>
    </row>
    <row r="4431" spans="1:2">
      <c r="A4431">
        <v>4430</v>
      </c>
      <c r="B4431" s="2">
        <v>293.32263953461131</v>
      </c>
    </row>
    <row r="4432" spans="1:2">
      <c r="A4432">
        <v>4431</v>
      </c>
      <c r="B4432" s="2">
        <v>390.83239948947903</v>
      </c>
    </row>
    <row r="4433" spans="1:2">
      <c r="A4433">
        <v>4432</v>
      </c>
      <c r="B4433" s="2">
        <v>432.32531528116567</v>
      </c>
    </row>
    <row r="4434" spans="1:2">
      <c r="A4434">
        <v>4433</v>
      </c>
      <c r="B4434" s="2">
        <v>187.82560037295104</v>
      </c>
    </row>
    <row r="4435" spans="1:2">
      <c r="A4435">
        <v>4434</v>
      </c>
      <c r="B4435" s="2">
        <v>281.79582450159245</v>
      </c>
    </row>
    <row r="4436" spans="1:2">
      <c r="A4436">
        <v>4435</v>
      </c>
      <c r="B4436" s="2">
        <v>284.21647092126523</v>
      </c>
    </row>
    <row r="4437" spans="1:2">
      <c r="A4437">
        <v>4436</v>
      </c>
      <c r="B4437" s="2">
        <v>477.58630340334992</v>
      </c>
    </row>
    <row r="4438" spans="1:2">
      <c r="A4438">
        <v>4437</v>
      </c>
      <c r="B4438" s="2">
        <v>395.94561603150157</v>
      </c>
    </row>
    <row r="4439" spans="1:2">
      <c r="A4439">
        <v>4438</v>
      </c>
      <c r="B4439" s="2">
        <v>329.74996223345761</v>
      </c>
    </row>
    <row r="4440" spans="1:2">
      <c r="A4440">
        <v>4439</v>
      </c>
      <c r="B4440" s="2">
        <v>386.36300279038255</v>
      </c>
    </row>
    <row r="4441" spans="1:2">
      <c r="A4441">
        <v>4440</v>
      </c>
      <c r="B4441" s="2">
        <v>272.79207775094363</v>
      </c>
    </row>
    <row r="4442" spans="1:2">
      <c r="A4442">
        <v>4441</v>
      </c>
      <c r="B4442" s="2">
        <v>410.27202000070736</v>
      </c>
    </row>
    <row r="4443" spans="1:2">
      <c r="A4443">
        <v>4442</v>
      </c>
      <c r="B4443" s="2">
        <v>306.53031473308323</v>
      </c>
    </row>
    <row r="4444" spans="1:2">
      <c r="A4444">
        <v>4443</v>
      </c>
      <c r="B4444" s="2">
        <v>249.2948411519431</v>
      </c>
    </row>
    <row r="4445" spans="1:2">
      <c r="A4445">
        <v>4444</v>
      </c>
      <c r="B4445" s="2">
        <v>419.51207194462233</v>
      </c>
    </row>
    <row r="4446" spans="1:2">
      <c r="A4446">
        <v>4445</v>
      </c>
      <c r="B4446" s="2">
        <v>380.09416178347249</v>
      </c>
    </row>
    <row r="4447" spans="1:2">
      <c r="A4447">
        <v>4446</v>
      </c>
      <c r="B4447" s="2">
        <v>396.6248815538969</v>
      </c>
    </row>
    <row r="4448" spans="1:2">
      <c r="A4448">
        <v>4447</v>
      </c>
      <c r="B4448" s="2">
        <v>422.88240279604719</v>
      </c>
    </row>
    <row r="4449" spans="1:2">
      <c r="A4449">
        <v>4448</v>
      </c>
      <c r="B4449" s="2">
        <v>292.45713752427116</v>
      </c>
    </row>
    <row r="4450" spans="1:2">
      <c r="A4450">
        <v>4449</v>
      </c>
      <c r="B4450" s="2">
        <v>371.39358217024443</v>
      </c>
    </row>
    <row r="4451" spans="1:2">
      <c r="A4451">
        <v>4450</v>
      </c>
      <c r="B4451" s="2">
        <v>364.96864065253408</v>
      </c>
    </row>
    <row r="4452" spans="1:2">
      <c r="A4452">
        <v>4451</v>
      </c>
      <c r="B4452" s="2">
        <v>375.21143155907373</v>
      </c>
    </row>
    <row r="4453" spans="1:2">
      <c r="A4453">
        <v>4452</v>
      </c>
      <c r="B4453" s="2">
        <v>424.19145922663097</v>
      </c>
    </row>
    <row r="4454" spans="1:2">
      <c r="A4454">
        <v>4453</v>
      </c>
      <c r="B4454" s="2">
        <v>422.69904191845859</v>
      </c>
    </row>
    <row r="4455" spans="1:2">
      <c r="A4455">
        <v>4454</v>
      </c>
      <c r="B4455" s="2">
        <v>417.20742204733193</v>
      </c>
    </row>
    <row r="4456" spans="1:2">
      <c r="A4456">
        <v>4455</v>
      </c>
      <c r="B4456" s="2">
        <v>308.99857611946589</v>
      </c>
    </row>
    <row r="4457" spans="1:2">
      <c r="A4457">
        <v>4456</v>
      </c>
      <c r="B4457" s="2">
        <v>277.34416040111876</v>
      </c>
    </row>
    <row r="4458" spans="1:2">
      <c r="A4458">
        <v>4457</v>
      </c>
      <c r="B4458" s="2">
        <v>274.41554053190288</v>
      </c>
    </row>
    <row r="4459" spans="1:2">
      <c r="A4459">
        <v>4458</v>
      </c>
      <c r="B4459" s="2">
        <v>370.61902915887418</v>
      </c>
    </row>
    <row r="4460" spans="1:2">
      <c r="A4460">
        <v>4459</v>
      </c>
      <c r="B4460" s="2">
        <v>318.13135827460525</v>
      </c>
    </row>
    <row r="4461" spans="1:2">
      <c r="A4461">
        <v>4460</v>
      </c>
      <c r="B4461" s="2">
        <v>405.01225691442647</v>
      </c>
    </row>
    <row r="4462" spans="1:2">
      <c r="A4462">
        <v>4461</v>
      </c>
      <c r="B4462" s="2">
        <v>373.3714422017843</v>
      </c>
    </row>
    <row r="4463" spans="1:2">
      <c r="A4463">
        <v>4462</v>
      </c>
      <c r="B4463" s="2">
        <v>214.0252695826332</v>
      </c>
    </row>
    <row r="4464" spans="1:2">
      <c r="A4464">
        <v>4463</v>
      </c>
      <c r="B4464" s="2">
        <v>268.10093645922126</v>
      </c>
    </row>
    <row r="4465" spans="1:2">
      <c r="A4465">
        <v>4464</v>
      </c>
      <c r="B4465" s="2">
        <v>340.34890444395313</v>
      </c>
    </row>
    <row r="4466" spans="1:2">
      <c r="A4466">
        <v>4465</v>
      </c>
      <c r="B4466" s="2">
        <v>409.67440177797948</v>
      </c>
    </row>
    <row r="4467" spans="1:2">
      <c r="A4467">
        <v>4466</v>
      </c>
      <c r="B4467" s="2">
        <v>318.5880087494188</v>
      </c>
    </row>
    <row r="4468" spans="1:2">
      <c r="A4468">
        <v>4467</v>
      </c>
      <c r="B4468" s="2">
        <v>306.19754085581417</v>
      </c>
    </row>
    <row r="4469" spans="1:2">
      <c r="A4469">
        <v>4468</v>
      </c>
      <c r="B4469" s="2">
        <v>241.54323685796493</v>
      </c>
    </row>
    <row r="4470" spans="1:2">
      <c r="A4470">
        <v>4469</v>
      </c>
      <c r="B4470" s="2">
        <v>319.29362767688929</v>
      </c>
    </row>
    <row r="4471" spans="1:2">
      <c r="A4471">
        <v>4470</v>
      </c>
      <c r="B4471" s="2">
        <v>495.76582295370781</v>
      </c>
    </row>
    <row r="4472" spans="1:2">
      <c r="A4472">
        <v>4471</v>
      </c>
      <c r="B4472" s="2">
        <v>391.60447275048881</v>
      </c>
    </row>
    <row r="4473" spans="1:2">
      <c r="A4473">
        <v>4472</v>
      </c>
      <c r="B4473" s="2">
        <v>345.72524265954462</v>
      </c>
    </row>
    <row r="4474" spans="1:2">
      <c r="A4474">
        <v>4473</v>
      </c>
      <c r="B4474" s="2">
        <v>317.6969744384445</v>
      </c>
    </row>
    <row r="4475" spans="1:2">
      <c r="A4475">
        <v>4474</v>
      </c>
      <c r="B4475" s="2">
        <v>118.24413079359942</v>
      </c>
    </row>
    <row r="4476" spans="1:2">
      <c r="A4476">
        <v>4475</v>
      </c>
      <c r="B4476" s="2">
        <v>280.27524991292086</v>
      </c>
    </row>
    <row r="4477" spans="1:2">
      <c r="A4477">
        <v>4476</v>
      </c>
      <c r="B4477" s="2">
        <v>294.50814561105068</v>
      </c>
    </row>
    <row r="4478" spans="1:2">
      <c r="A4478">
        <v>4477</v>
      </c>
      <c r="B4478" s="2">
        <v>309.57092854573784</v>
      </c>
    </row>
    <row r="4479" spans="1:2">
      <c r="A4479">
        <v>4478</v>
      </c>
      <c r="B4479" s="2">
        <v>406.94270897877232</v>
      </c>
    </row>
    <row r="4480" spans="1:2">
      <c r="A4480">
        <v>4479</v>
      </c>
      <c r="B4480" s="2">
        <v>276.52876127652854</v>
      </c>
    </row>
    <row r="4481" spans="1:2">
      <c r="A4481">
        <v>4480</v>
      </c>
      <c r="B4481" s="2">
        <v>352.05053546474028</v>
      </c>
    </row>
    <row r="4482" spans="1:2">
      <c r="A4482">
        <v>4481</v>
      </c>
      <c r="B4482" s="2">
        <v>372.27546342884426</v>
      </c>
    </row>
    <row r="4483" spans="1:2">
      <c r="A4483">
        <v>4482</v>
      </c>
      <c r="B4483" s="2">
        <v>395.84880737500617</v>
      </c>
    </row>
    <row r="4484" spans="1:2">
      <c r="A4484">
        <v>4483</v>
      </c>
      <c r="B4484" s="2">
        <v>305.99618223234188</v>
      </c>
    </row>
    <row r="4485" spans="1:2">
      <c r="A4485">
        <v>4484</v>
      </c>
      <c r="B4485" s="2">
        <v>446.60842952415135</v>
      </c>
    </row>
    <row r="4486" spans="1:2">
      <c r="A4486">
        <v>4485</v>
      </c>
      <c r="B4486" s="2">
        <v>455.3741048808406</v>
      </c>
    </row>
    <row r="4487" spans="1:2">
      <c r="A4487">
        <v>4486</v>
      </c>
      <c r="B4487" s="2">
        <v>344.32753292886213</v>
      </c>
    </row>
    <row r="4488" spans="1:2">
      <c r="A4488">
        <v>4487</v>
      </c>
      <c r="B4488" s="2">
        <v>303.89903493676542</v>
      </c>
    </row>
    <row r="4489" spans="1:2">
      <c r="A4489">
        <v>4488</v>
      </c>
      <c r="B4489" s="2">
        <v>362.48732966518986</v>
      </c>
    </row>
    <row r="4490" spans="1:2">
      <c r="A4490">
        <v>4489</v>
      </c>
      <c r="B4490" s="2">
        <v>287.53521474230979</v>
      </c>
    </row>
    <row r="4491" spans="1:2">
      <c r="A4491">
        <v>4490</v>
      </c>
      <c r="B4491" s="2">
        <v>326.1511610408088</v>
      </c>
    </row>
    <row r="4492" spans="1:2">
      <c r="A4492">
        <v>4491</v>
      </c>
      <c r="B4492" s="2">
        <v>306.84032995415947</v>
      </c>
    </row>
    <row r="4493" spans="1:2">
      <c r="A4493">
        <v>4492</v>
      </c>
      <c r="B4493" s="2">
        <v>282.46620362504336</v>
      </c>
    </row>
    <row r="4494" spans="1:2">
      <c r="A4494">
        <v>4493</v>
      </c>
      <c r="B4494" s="2">
        <v>281.25614022001821</v>
      </c>
    </row>
    <row r="4495" spans="1:2">
      <c r="A4495">
        <v>4494</v>
      </c>
      <c r="B4495" s="2">
        <v>344.08200598125023</v>
      </c>
    </row>
    <row r="4496" spans="1:2">
      <c r="A4496">
        <v>4495</v>
      </c>
      <c r="B4496" s="2">
        <v>283.83561771557879</v>
      </c>
    </row>
    <row r="4497" spans="1:2">
      <c r="A4497">
        <v>4496</v>
      </c>
      <c r="B4497" s="2">
        <v>366.60754090640597</v>
      </c>
    </row>
    <row r="4498" spans="1:2">
      <c r="A4498">
        <v>4497</v>
      </c>
      <c r="B4498" s="2">
        <v>379.3484989251906</v>
      </c>
    </row>
    <row r="4499" spans="1:2">
      <c r="A4499">
        <v>4498</v>
      </c>
      <c r="B4499" s="2">
        <v>146.78019755785849</v>
      </c>
    </row>
    <row r="4500" spans="1:2">
      <c r="A4500">
        <v>4499</v>
      </c>
      <c r="B4500" s="2">
        <v>210.07378512299186</v>
      </c>
    </row>
    <row r="4501" spans="1:2">
      <c r="A4501">
        <v>4500</v>
      </c>
      <c r="B4501" s="2">
        <v>346.16749115484788</v>
      </c>
    </row>
    <row r="4502" spans="1:2">
      <c r="A4502">
        <v>4501</v>
      </c>
      <c r="B4502" s="2">
        <v>348.37083198411608</v>
      </c>
    </row>
    <row r="4503" spans="1:2">
      <c r="A4503">
        <v>4502</v>
      </c>
      <c r="B4503" s="2">
        <v>330.394420108296</v>
      </c>
    </row>
    <row r="4504" spans="1:2">
      <c r="A4504">
        <v>4503</v>
      </c>
      <c r="B4504" s="2">
        <v>353.68085605863911</v>
      </c>
    </row>
    <row r="4505" spans="1:2">
      <c r="A4505">
        <v>4504</v>
      </c>
      <c r="B4505" s="2">
        <v>243.98147697945933</v>
      </c>
    </row>
    <row r="4506" spans="1:2">
      <c r="A4506">
        <v>4505</v>
      </c>
      <c r="B4506" s="2">
        <v>109.68019079060031</v>
      </c>
    </row>
    <row r="4507" spans="1:2">
      <c r="A4507">
        <v>4506</v>
      </c>
      <c r="B4507" s="2">
        <v>379.63585296545591</v>
      </c>
    </row>
    <row r="4508" spans="1:2">
      <c r="A4508">
        <v>4507</v>
      </c>
      <c r="B4508" s="2">
        <v>381.76699286005896</v>
      </c>
    </row>
    <row r="4509" spans="1:2">
      <c r="A4509">
        <v>4508</v>
      </c>
      <c r="B4509" s="2">
        <v>346.57498543771112</v>
      </c>
    </row>
    <row r="4510" spans="1:2">
      <c r="A4510">
        <v>4509</v>
      </c>
      <c r="B4510" s="2">
        <v>437.96272275341937</v>
      </c>
    </row>
    <row r="4511" spans="1:2">
      <c r="A4511">
        <v>4510</v>
      </c>
      <c r="B4511" s="2">
        <v>367.15625026539567</v>
      </c>
    </row>
    <row r="4512" spans="1:2">
      <c r="A4512">
        <v>4511</v>
      </c>
      <c r="B4512" s="2">
        <v>340.05389320670901</v>
      </c>
    </row>
    <row r="4513" spans="1:2">
      <c r="A4513">
        <v>4512</v>
      </c>
      <c r="B4513" s="2">
        <v>285.34673971204779</v>
      </c>
    </row>
    <row r="4514" spans="1:2">
      <c r="A4514">
        <v>4513</v>
      </c>
      <c r="B4514" s="2">
        <v>237.84080577243452</v>
      </c>
    </row>
    <row r="4515" spans="1:2">
      <c r="A4515">
        <v>4514</v>
      </c>
      <c r="B4515" s="2">
        <v>188.73202640892248</v>
      </c>
    </row>
    <row r="4516" spans="1:2">
      <c r="A4516">
        <v>4515</v>
      </c>
      <c r="B4516" s="2">
        <v>295.18858407331999</v>
      </c>
    </row>
    <row r="4517" spans="1:2">
      <c r="A4517">
        <v>4516</v>
      </c>
      <c r="B4517" s="2">
        <v>389.68460245976905</v>
      </c>
    </row>
    <row r="4518" spans="1:2">
      <c r="A4518">
        <v>4517</v>
      </c>
      <c r="B4518" s="2">
        <v>358.51565454429084</v>
      </c>
    </row>
    <row r="4519" spans="1:2">
      <c r="A4519">
        <v>4518</v>
      </c>
      <c r="B4519" s="2">
        <v>336.38440652894246</v>
      </c>
    </row>
    <row r="4520" spans="1:2">
      <c r="A4520">
        <v>4519</v>
      </c>
      <c r="B4520" s="2">
        <v>191.63209917312236</v>
      </c>
    </row>
    <row r="4521" spans="1:2">
      <c r="A4521">
        <v>4520</v>
      </c>
      <c r="B4521" s="2">
        <v>383.2222484368649</v>
      </c>
    </row>
    <row r="4522" spans="1:2">
      <c r="A4522">
        <v>4521</v>
      </c>
      <c r="B4522" s="2">
        <v>359.24235104909462</v>
      </c>
    </row>
    <row r="4523" spans="1:2">
      <c r="A4523">
        <v>4522</v>
      </c>
      <c r="B4523" s="2">
        <v>238.69147741349119</v>
      </c>
    </row>
    <row r="4524" spans="1:2">
      <c r="A4524">
        <v>4523</v>
      </c>
      <c r="B4524" s="2">
        <v>316.31977765995771</v>
      </c>
    </row>
    <row r="4525" spans="1:2">
      <c r="A4525">
        <v>4524</v>
      </c>
      <c r="B4525" s="2">
        <v>401.60823432797031</v>
      </c>
    </row>
    <row r="4526" spans="1:2">
      <c r="A4526">
        <v>4525</v>
      </c>
      <c r="B4526" s="2">
        <v>267.81125649848843</v>
      </c>
    </row>
    <row r="4527" spans="1:2">
      <c r="A4527">
        <v>4526</v>
      </c>
      <c r="B4527" s="2">
        <v>331.86492137981082</v>
      </c>
    </row>
    <row r="4528" spans="1:2">
      <c r="A4528">
        <v>4527</v>
      </c>
      <c r="B4528" s="2">
        <v>434.38230120350227</v>
      </c>
    </row>
    <row r="4529" spans="1:2">
      <c r="A4529">
        <v>4528</v>
      </c>
      <c r="B4529" s="2">
        <v>525.4750574555494</v>
      </c>
    </row>
    <row r="4530" spans="1:2">
      <c r="A4530">
        <v>4529</v>
      </c>
      <c r="B4530" s="2">
        <v>431.83499414193739</v>
      </c>
    </row>
    <row r="4531" spans="1:2">
      <c r="A4531">
        <v>4530</v>
      </c>
      <c r="B4531" s="2">
        <v>275.71323728945418</v>
      </c>
    </row>
    <row r="4532" spans="1:2">
      <c r="A4532">
        <v>4531</v>
      </c>
      <c r="B4532" s="2">
        <v>314.36068193735724</v>
      </c>
    </row>
    <row r="4533" spans="1:2">
      <c r="A4533">
        <v>4532</v>
      </c>
      <c r="B4533" s="2">
        <v>325.36015319133799</v>
      </c>
    </row>
    <row r="4534" spans="1:2">
      <c r="A4534">
        <v>4533</v>
      </c>
      <c r="B4534" s="2">
        <v>474.1972694801425</v>
      </c>
    </row>
    <row r="4535" spans="1:2">
      <c r="A4535">
        <v>4534</v>
      </c>
      <c r="B4535" s="2">
        <v>429.77039765050699</v>
      </c>
    </row>
    <row r="4536" spans="1:2">
      <c r="A4536">
        <v>4535</v>
      </c>
      <c r="B4536" s="2">
        <v>469.77175463024946</v>
      </c>
    </row>
    <row r="4537" spans="1:2">
      <c r="A4537">
        <v>4536</v>
      </c>
      <c r="B4537" s="2">
        <v>197.34137447918735</v>
      </c>
    </row>
    <row r="4538" spans="1:2">
      <c r="A4538">
        <v>4537</v>
      </c>
      <c r="B4538" s="2">
        <v>351.38634701555895</v>
      </c>
    </row>
    <row r="4539" spans="1:2">
      <c r="A4539">
        <v>4538</v>
      </c>
      <c r="B4539" s="2">
        <v>402.21737046494354</v>
      </c>
    </row>
    <row r="4540" spans="1:2">
      <c r="A4540">
        <v>4539</v>
      </c>
      <c r="B4540" s="2">
        <v>382.83443495504469</v>
      </c>
    </row>
    <row r="4541" spans="1:2">
      <c r="A4541">
        <v>4540</v>
      </c>
      <c r="B4541" s="2">
        <v>242.427165910317</v>
      </c>
    </row>
    <row r="4542" spans="1:2">
      <c r="A4542">
        <v>4541</v>
      </c>
      <c r="B4542" s="2">
        <v>279.37068964897338</v>
      </c>
    </row>
    <row r="4543" spans="1:2">
      <c r="A4543">
        <v>4542</v>
      </c>
      <c r="B4543" s="2">
        <v>291.52660013863601</v>
      </c>
    </row>
    <row r="4544" spans="1:2">
      <c r="A4544">
        <v>4543</v>
      </c>
      <c r="B4544" s="2">
        <v>334.40207415914062</v>
      </c>
    </row>
    <row r="4545" spans="1:2">
      <c r="A4545">
        <v>4544</v>
      </c>
      <c r="B4545" s="2">
        <v>402.04424179124618</v>
      </c>
    </row>
    <row r="4546" spans="1:2">
      <c r="A4546">
        <v>4545</v>
      </c>
      <c r="B4546" s="2">
        <v>380.18153413026806</v>
      </c>
    </row>
    <row r="4547" spans="1:2">
      <c r="A4547">
        <v>4546</v>
      </c>
      <c r="B4547" s="2">
        <v>418.8997273504437</v>
      </c>
    </row>
    <row r="4548" spans="1:2">
      <c r="A4548">
        <v>4547</v>
      </c>
      <c r="B4548" s="2">
        <v>239.27789903085448</v>
      </c>
    </row>
    <row r="4549" spans="1:2">
      <c r="A4549">
        <v>4548</v>
      </c>
      <c r="B4549" s="2">
        <v>536.24198205811251</v>
      </c>
    </row>
    <row r="4550" spans="1:2">
      <c r="A4550">
        <v>4549</v>
      </c>
      <c r="B4550" s="2">
        <v>282.05277342600391</v>
      </c>
    </row>
    <row r="4551" spans="1:2">
      <c r="A4551">
        <v>4550</v>
      </c>
      <c r="B4551" s="2">
        <v>495.2855608287673</v>
      </c>
    </row>
    <row r="4552" spans="1:2">
      <c r="A4552">
        <v>4551</v>
      </c>
      <c r="B4552" s="2">
        <v>338.04228758930702</v>
      </c>
    </row>
    <row r="4553" spans="1:2">
      <c r="A4553">
        <v>4552</v>
      </c>
      <c r="B4553" s="2">
        <v>348.12665779085984</v>
      </c>
    </row>
    <row r="4554" spans="1:2">
      <c r="A4554">
        <v>4553</v>
      </c>
      <c r="B4554" s="2">
        <v>212.15913515338906</v>
      </c>
    </row>
    <row r="4555" spans="1:2">
      <c r="A4555">
        <v>4554</v>
      </c>
      <c r="B4555" s="2">
        <v>315.02221710281793</v>
      </c>
    </row>
    <row r="4556" spans="1:2">
      <c r="A4556">
        <v>4555</v>
      </c>
      <c r="B4556" s="2">
        <v>464.86335752907445</v>
      </c>
    </row>
    <row r="4557" spans="1:2">
      <c r="A4557">
        <v>4556</v>
      </c>
      <c r="B4557" s="2">
        <v>367.12311632312316</v>
      </c>
    </row>
    <row r="4558" spans="1:2">
      <c r="A4558">
        <v>4557</v>
      </c>
      <c r="B4558" s="2">
        <v>260.28188621009258</v>
      </c>
    </row>
    <row r="4559" spans="1:2">
      <c r="A4559">
        <v>4558</v>
      </c>
      <c r="B4559" s="2">
        <v>413.57901843865119</v>
      </c>
    </row>
    <row r="4560" spans="1:2">
      <c r="A4560">
        <v>4559</v>
      </c>
      <c r="B4560" s="2">
        <v>269.47540852110671</v>
      </c>
    </row>
    <row r="4561" spans="1:2">
      <c r="A4561">
        <v>4560</v>
      </c>
      <c r="B4561" s="2">
        <v>236.34478712219024</v>
      </c>
    </row>
    <row r="4562" spans="1:2">
      <c r="A4562">
        <v>4561</v>
      </c>
      <c r="B4562" s="2">
        <v>329.95599884938281</v>
      </c>
    </row>
    <row r="4563" spans="1:2">
      <c r="A4563">
        <v>4562</v>
      </c>
      <c r="B4563" s="2">
        <v>330.33508397882156</v>
      </c>
    </row>
    <row r="4564" spans="1:2">
      <c r="A4564">
        <v>4563</v>
      </c>
      <c r="B4564" s="2">
        <v>424.0627272699432</v>
      </c>
    </row>
    <row r="4565" spans="1:2">
      <c r="A4565">
        <v>4564</v>
      </c>
      <c r="B4565" s="2">
        <v>179.97904680788426</v>
      </c>
    </row>
    <row r="4566" spans="1:2">
      <c r="A4566">
        <v>4565</v>
      </c>
      <c r="B4566" s="2">
        <v>499.91754920279834</v>
      </c>
    </row>
    <row r="4567" spans="1:2">
      <c r="A4567">
        <v>4566</v>
      </c>
      <c r="B4567" s="2">
        <v>327.29364540556816</v>
      </c>
    </row>
    <row r="4568" spans="1:2">
      <c r="A4568">
        <v>4567</v>
      </c>
      <c r="B4568" s="2">
        <v>309.88394151237623</v>
      </c>
    </row>
    <row r="4569" spans="1:2">
      <c r="A4569">
        <v>4568</v>
      </c>
      <c r="B4569" s="2">
        <v>192.90717150132161</v>
      </c>
    </row>
    <row r="4570" spans="1:2">
      <c r="A4570">
        <v>4569</v>
      </c>
      <c r="B4570" s="2">
        <v>344.97992933620424</v>
      </c>
    </row>
    <row r="4571" spans="1:2">
      <c r="A4571">
        <v>4570</v>
      </c>
      <c r="B4571" s="2">
        <v>339.10258627072164</v>
      </c>
    </row>
    <row r="4572" spans="1:2">
      <c r="A4572">
        <v>4571</v>
      </c>
      <c r="B4572" s="2">
        <v>455.48787301537078</v>
      </c>
    </row>
    <row r="4573" spans="1:2">
      <c r="A4573">
        <v>4572</v>
      </c>
      <c r="B4573" s="2">
        <v>395.41887615952618</v>
      </c>
    </row>
    <row r="4574" spans="1:2">
      <c r="A4574">
        <v>4573</v>
      </c>
      <c r="B4574" s="2">
        <v>436.24208734151313</v>
      </c>
    </row>
    <row r="4575" spans="1:2">
      <c r="A4575">
        <v>4574</v>
      </c>
      <c r="B4575" s="2">
        <v>210.40870258339635</v>
      </c>
    </row>
    <row r="4576" spans="1:2">
      <c r="A4576">
        <v>4575</v>
      </c>
      <c r="B4576" s="2">
        <v>455.25850089827776</v>
      </c>
    </row>
    <row r="4577" spans="1:2">
      <c r="A4577">
        <v>4576</v>
      </c>
      <c r="B4577" s="2">
        <v>315.32461648017511</v>
      </c>
    </row>
    <row r="4578" spans="1:2">
      <c r="A4578">
        <v>4577</v>
      </c>
      <c r="B4578" s="2">
        <v>315.4267083167415</v>
      </c>
    </row>
    <row r="4579" spans="1:2">
      <c r="A4579">
        <v>4578</v>
      </c>
      <c r="B4579" s="2">
        <v>309.06467230510782</v>
      </c>
    </row>
    <row r="4580" spans="1:2">
      <c r="A4580">
        <v>4579</v>
      </c>
      <c r="B4580" s="2">
        <v>436.34160064816695</v>
      </c>
    </row>
    <row r="4581" spans="1:2">
      <c r="A4581">
        <v>4580</v>
      </c>
      <c r="B4581" s="2">
        <v>384.16766210905206</v>
      </c>
    </row>
    <row r="4582" spans="1:2">
      <c r="A4582">
        <v>4581</v>
      </c>
      <c r="B4582" s="2">
        <v>402.74927779100705</v>
      </c>
    </row>
    <row r="4583" spans="1:2">
      <c r="A4583">
        <v>4582</v>
      </c>
      <c r="B4583" s="2">
        <v>376.74663332705057</v>
      </c>
    </row>
    <row r="4584" spans="1:2">
      <c r="A4584">
        <v>4583</v>
      </c>
      <c r="B4584" s="2">
        <v>305.81931988995802</v>
      </c>
    </row>
    <row r="4585" spans="1:2">
      <c r="A4585">
        <v>4584</v>
      </c>
      <c r="B4585" s="2">
        <v>137.81015562541799</v>
      </c>
    </row>
    <row r="4586" spans="1:2">
      <c r="A4586">
        <v>4585</v>
      </c>
      <c r="B4586" s="2">
        <v>274.29325129131365</v>
      </c>
    </row>
    <row r="4587" spans="1:2">
      <c r="A4587">
        <v>4586</v>
      </c>
      <c r="B4587" s="2">
        <v>338.00479322850742</v>
      </c>
    </row>
    <row r="4588" spans="1:2">
      <c r="A4588">
        <v>4587</v>
      </c>
      <c r="B4588" s="2">
        <v>327.29706544503273</v>
      </c>
    </row>
    <row r="4589" spans="1:2">
      <c r="A4589">
        <v>4588</v>
      </c>
      <c r="B4589" s="2">
        <v>315.60976730960647</v>
      </c>
    </row>
    <row r="4590" spans="1:2">
      <c r="A4590">
        <v>4589</v>
      </c>
      <c r="B4590" s="2">
        <v>345.11757929304542</v>
      </c>
    </row>
    <row r="4591" spans="1:2">
      <c r="A4591">
        <v>4590</v>
      </c>
      <c r="B4591" s="2">
        <v>461.51482631826968</v>
      </c>
    </row>
    <row r="4592" spans="1:2">
      <c r="A4592">
        <v>4591</v>
      </c>
      <c r="B4592" s="2">
        <v>288.41020566343775</v>
      </c>
    </row>
    <row r="4593" spans="1:2">
      <c r="A4593">
        <v>4592</v>
      </c>
      <c r="B4593" s="2">
        <v>260.05450472295462</v>
      </c>
    </row>
    <row r="4594" spans="1:2">
      <c r="A4594">
        <v>4593</v>
      </c>
      <c r="B4594" s="2">
        <v>382.62091177405046</v>
      </c>
    </row>
    <row r="4595" spans="1:2">
      <c r="A4595">
        <v>4594</v>
      </c>
      <c r="B4595" s="2">
        <v>254.83789235642973</v>
      </c>
    </row>
    <row r="4596" spans="1:2">
      <c r="A4596">
        <v>4595</v>
      </c>
      <c r="B4596" s="2">
        <v>428.35413096737074</v>
      </c>
    </row>
    <row r="4597" spans="1:2">
      <c r="A4597">
        <v>4596</v>
      </c>
      <c r="B4597" s="2">
        <v>382.5199486920269</v>
      </c>
    </row>
    <row r="4598" spans="1:2">
      <c r="A4598">
        <v>4597</v>
      </c>
      <c r="B4598" s="2">
        <v>252.85826090758562</v>
      </c>
    </row>
    <row r="4599" spans="1:2">
      <c r="A4599">
        <v>4598</v>
      </c>
      <c r="B4599" s="2">
        <v>291.52232549240881</v>
      </c>
    </row>
    <row r="4600" spans="1:2">
      <c r="A4600">
        <v>4599</v>
      </c>
      <c r="B4600" s="2">
        <v>393.94670248371654</v>
      </c>
    </row>
    <row r="4601" spans="1:2">
      <c r="A4601">
        <v>4600</v>
      </c>
      <c r="B4601" s="2">
        <v>310.94526335935865</v>
      </c>
    </row>
    <row r="4602" spans="1:2">
      <c r="A4602">
        <v>4601</v>
      </c>
      <c r="B4602" s="2">
        <v>452.01646533385838</v>
      </c>
    </row>
    <row r="4603" spans="1:2">
      <c r="A4603">
        <v>4602</v>
      </c>
      <c r="B4603" s="2">
        <v>377.56445016590555</v>
      </c>
    </row>
    <row r="4604" spans="1:2">
      <c r="A4604">
        <v>4603</v>
      </c>
      <c r="B4604" s="2">
        <v>256.96398716771353</v>
      </c>
    </row>
    <row r="4605" spans="1:2">
      <c r="A4605">
        <v>4604</v>
      </c>
      <c r="B4605" s="2">
        <v>358.88157204240076</v>
      </c>
    </row>
    <row r="4606" spans="1:2">
      <c r="A4606">
        <v>4605</v>
      </c>
      <c r="B4606" s="2">
        <v>321.6556229696327</v>
      </c>
    </row>
    <row r="4607" spans="1:2">
      <c r="A4607">
        <v>4606</v>
      </c>
      <c r="B4607" s="2">
        <v>289.2623306809711</v>
      </c>
    </row>
    <row r="4608" spans="1:2">
      <c r="A4608">
        <v>4607</v>
      </c>
      <c r="B4608" s="2">
        <v>381.00090925755728</v>
      </c>
    </row>
    <row r="4609" spans="1:2">
      <c r="A4609">
        <v>4608</v>
      </c>
      <c r="B4609" s="2">
        <v>411.20741957213977</v>
      </c>
    </row>
    <row r="4610" spans="1:2">
      <c r="A4610">
        <v>4609</v>
      </c>
      <c r="B4610" s="2">
        <v>475.30809609895687</v>
      </c>
    </row>
    <row r="4611" spans="1:2">
      <c r="A4611">
        <v>4610</v>
      </c>
      <c r="B4611" s="2">
        <v>212.25451955629001</v>
      </c>
    </row>
    <row r="4612" spans="1:2">
      <c r="A4612">
        <v>4611</v>
      </c>
      <c r="B4612" s="2">
        <v>352.62464200039199</v>
      </c>
    </row>
    <row r="4613" spans="1:2">
      <c r="A4613">
        <v>4612</v>
      </c>
      <c r="B4613" s="2">
        <v>386.48150710882709</v>
      </c>
    </row>
    <row r="4614" spans="1:2">
      <c r="A4614">
        <v>4613</v>
      </c>
      <c r="B4614" s="2">
        <v>392.79779524673307</v>
      </c>
    </row>
    <row r="4615" spans="1:2">
      <c r="A4615">
        <v>4614</v>
      </c>
      <c r="B4615" s="2">
        <v>418.16167999927012</v>
      </c>
    </row>
    <row r="4616" spans="1:2">
      <c r="A4616">
        <v>4615</v>
      </c>
      <c r="B4616" s="2">
        <v>495.73351986160924</v>
      </c>
    </row>
    <row r="4617" spans="1:2">
      <c r="A4617">
        <v>4616</v>
      </c>
      <c r="B4617" s="2">
        <v>528.50928031915305</v>
      </c>
    </row>
    <row r="4618" spans="1:2">
      <c r="A4618">
        <v>4617</v>
      </c>
      <c r="B4618" s="2">
        <v>435.2702496649045</v>
      </c>
    </row>
    <row r="4619" spans="1:2">
      <c r="A4619">
        <v>4618</v>
      </c>
      <c r="B4619" s="2">
        <v>274.98291152314164</v>
      </c>
    </row>
    <row r="4620" spans="1:2">
      <c r="A4620">
        <v>4619</v>
      </c>
      <c r="B4620" s="2">
        <v>400.53759807188413</v>
      </c>
    </row>
    <row r="4621" spans="1:2">
      <c r="A4621">
        <v>4620</v>
      </c>
      <c r="B4621" s="2">
        <v>146.31463071703462</v>
      </c>
    </row>
    <row r="4622" spans="1:2">
      <c r="A4622">
        <v>4621</v>
      </c>
      <c r="B4622" s="2">
        <v>287.26257286590828</v>
      </c>
    </row>
    <row r="4623" spans="1:2">
      <c r="A4623">
        <v>4622</v>
      </c>
      <c r="B4623" s="2">
        <v>353.48151621481276</v>
      </c>
    </row>
    <row r="4624" spans="1:2">
      <c r="A4624">
        <v>4623</v>
      </c>
      <c r="B4624" s="2">
        <v>270.62188946984583</v>
      </c>
    </row>
    <row r="4625" spans="1:2">
      <c r="A4625">
        <v>4624</v>
      </c>
      <c r="B4625" s="2">
        <v>334.4684163300015</v>
      </c>
    </row>
    <row r="4626" spans="1:2">
      <c r="A4626">
        <v>4625</v>
      </c>
      <c r="B4626" s="2">
        <v>525.81382621976911</v>
      </c>
    </row>
    <row r="4627" spans="1:2">
      <c r="A4627">
        <v>4626</v>
      </c>
      <c r="B4627" s="2">
        <v>387.03657947559373</v>
      </c>
    </row>
    <row r="4628" spans="1:2">
      <c r="A4628">
        <v>4627</v>
      </c>
      <c r="B4628" s="2">
        <v>145.98432139121081</v>
      </c>
    </row>
    <row r="4629" spans="1:2">
      <c r="A4629">
        <v>4628</v>
      </c>
      <c r="B4629" s="2">
        <v>385.7932026930186</v>
      </c>
    </row>
    <row r="4630" spans="1:2">
      <c r="A4630">
        <v>4629</v>
      </c>
      <c r="B4630" s="2">
        <v>344.53947065610311</v>
      </c>
    </row>
    <row r="4631" spans="1:2">
      <c r="A4631">
        <v>4630</v>
      </c>
      <c r="B4631" s="2">
        <v>346.47536644365039</v>
      </c>
    </row>
    <row r="4632" spans="1:2">
      <c r="A4632">
        <v>4631</v>
      </c>
      <c r="B4632" s="2">
        <v>269.80738861244856</v>
      </c>
    </row>
    <row r="4633" spans="1:2">
      <c r="A4633">
        <v>4632</v>
      </c>
      <c r="B4633" s="2">
        <v>486.81319408217706</v>
      </c>
    </row>
    <row r="4634" spans="1:2">
      <c r="A4634">
        <v>4633</v>
      </c>
      <c r="B4634" s="2">
        <v>445.86111972487396</v>
      </c>
    </row>
    <row r="4635" spans="1:2">
      <c r="A4635">
        <v>4634</v>
      </c>
      <c r="B4635" s="2">
        <v>441.63810883526941</v>
      </c>
    </row>
    <row r="4636" spans="1:2">
      <c r="A4636">
        <v>4635</v>
      </c>
      <c r="B4636" s="2">
        <v>227.69098088397976</v>
      </c>
    </row>
    <row r="4637" spans="1:2">
      <c r="A4637">
        <v>4636</v>
      </c>
      <c r="B4637" s="2">
        <v>205.33336746689352</v>
      </c>
    </row>
    <row r="4638" spans="1:2">
      <c r="A4638">
        <v>4637</v>
      </c>
      <c r="B4638" s="2">
        <v>252.27874323172554</v>
      </c>
    </row>
    <row r="4639" spans="1:2">
      <c r="A4639">
        <v>4638</v>
      </c>
      <c r="B4639" s="2">
        <v>225.65970172552113</v>
      </c>
    </row>
    <row r="4640" spans="1:2">
      <c r="A4640">
        <v>4639</v>
      </c>
      <c r="B4640" s="2">
        <v>323.38094297867235</v>
      </c>
    </row>
    <row r="4641" spans="1:2">
      <c r="A4641">
        <v>4640</v>
      </c>
      <c r="B4641" s="2">
        <v>251.41353494188618</v>
      </c>
    </row>
    <row r="4642" spans="1:2">
      <c r="A4642">
        <v>4641</v>
      </c>
      <c r="B4642" s="2">
        <v>412.99504613379304</v>
      </c>
    </row>
    <row r="4643" spans="1:2">
      <c r="A4643">
        <v>4642</v>
      </c>
      <c r="B4643" s="2">
        <v>463.3480394179411</v>
      </c>
    </row>
    <row r="4644" spans="1:2">
      <c r="A4644">
        <v>4643</v>
      </c>
      <c r="B4644" s="2">
        <v>411.15452082704559</v>
      </c>
    </row>
    <row r="4645" spans="1:2">
      <c r="A4645">
        <v>4644</v>
      </c>
      <c r="B4645" s="2">
        <v>345.4614886803094</v>
      </c>
    </row>
    <row r="4646" spans="1:2">
      <c r="A4646">
        <v>4645</v>
      </c>
      <c r="B4646" s="2">
        <v>458.68072013821393</v>
      </c>
    </row>
    <row r="4647" spans="1:2">
      <c r="A4647">
        <v>4646</v>
      </c>
      <c r="B4647" s="2">
        <v>516.34873782636498</v>
      </c>
    </row>
    <row r="4648" spans="1:2">
      <c r="A4648">
        <v>4647</v>
      </c>
      <c r="B4648" s="2">
        <v>390.24067779227016</v>
      </c>
    </row>
    <row r="4649" spans="1:2">
      <c r="A4649">
        <v>4648</v>
      </c>
      <c r="B4649" s="2">
        <v>416.86138308318704</v>
      </c>
    </row>
    <row r="4650" spans="1:2">
      <c r="A4650">
        <v>4649</v>
      </c>
      <c r="B4650" s="2">
        <v>384.84896542567884</v>
      </c>
    </row>
    <row r="4651" spans="1:2">
      <c r="A4651">
        <v>4650</v>
      </c>
      <c r="B4651" s="2">
        <v>340.75857235982767</v>
      </c>
    </row>
    <row r="4652" spans="1:2">
      <c r="A4652">
        <v>4651</v>
      </c>
      <c r="B4652" s="2">
        <v>260.27764461018302</v>
      </c>
    </row>
    <row r="4653" spans="1:2">
      <c r="A4653">
        <v>4652</v>
      </c>
      <c r="B4653" s="2">
        <v>303.72057280021545</v>
      </c>
    </row>
    <row r="4654" spans="1:2">
      <c r="A4654">
        <v>4653</v>
      </c>
      <c r="B4654" s="2">
        <v>348.20845505866072</v>
      </c>
    </row>
    <row r="4655" spans="1:2">
      <c r="A4655">
        <v>4654</v>
      </c>
      <c r="B4655" s="2">
        <v>438.3775701886421</v>
      </c>
    </row>
    <row r="4656" spans="1:2">
      <c r="A4656">
        <v>4655</v>
      </c>
      <c r="B4656" s="2">
        <v>377.99720010189662</v>
      </c>
    </row>
    <row r="4657" spans="1:2">
      <c r="A4657">
        <v>4656</v>
      </c>
      <c r="B4657" s="2">
        <v>235.18553545497994</v>
      </c>
    </row>
    <row r="4658" spans="1:2">
      <c r="A4658">
        <v>4657</v>
      </c>
      <c r="B4658" s="2">
        <v>346.35147434496656</v>
      </c>
    </row>
    <row r="4659" spans="1:2">
      <c r="A4659">
        <v>4658</v>
      </c>
      <c r="B4659" s="2">
        <v>347.94124989233802</v>
      </c>
    </row>
    <row r="4660" spans="1:2">
      <c r="A4660">
        <v>4659</v>
      </c>
      <c r="B4660" s="2">
        <v>276.2451217372622</v>
      </c>
    </row>
    <row r="4661" spans="1:2">
      <c r="A4661">
        <v>4660</v>
      </c>
      <c r="B4661" s="2">
        <v>242.71753552959697</v>
      </c>
    </row>
    <row r="4662" spans="1:2">
      <c r="A4662">
        <v>4661</v>
      </c>
      <c r="B4662" s="2">
        <v>386.60011873726251</v>
      </c>
    </row>
    <row r="4663" spans="1:2">
      <c r="A4663">
        <v>4662</v>
      </c>
      <c r="B4663" s="2">
        <v>310.44578203878223</v>
      </c>
    </row>
    <row r="4664" spans="1:2">
      <c r="A4664">
        <v>4663</v>
      </c>
      <c r="B4664" s="2">
        <v>337.29577002147278</v>
      </c>
    </row>
    <row r="4665" spans="1:2">
      <c r="A4665">
        <v>4664</v>
      </c>
      <c r="B4665" s="2">
        <v>220.486004866575</v>
      </c>
    </row>
    <row r="4666" spans="1:2">
      <c r="A4666">
        <v>4665</v>
      </c>
      <c r="B4666" s="2">
        <v>209.39338973642811</v>
      </c>
    </row>
    <row r="4667" spans="1:2">
      <c r="A4667">
        <v>4666</v>
      </c>
      <c r="B4667" s="2">
        <v>300.98683425376527</v>
      </c>
    </row>
    <row r="4668" spans="1:2">
      <c r="A4668">
        <v>4667</v>
      </c>
      <c r="B4668" s="2">
        <v>380.99724293557426</v>
      </c>
    </row>
    <row r="4669" spans="1:2">
      <c r="A4669">
        <v>4668</v>
      </c>
      <c r="B4669" s="2">
        <v>440.68591921048983</v>
      </c>
    </row>
    <row r="4670" spans="1:2">
      <c r="A4670">
        <v>4669</v>
      </c>
      <c r="B4670" s="2">
        <v>360.00099721501823</v>
      </c>
    </row>
    <row r="4671" spans="1:2">
      <c r="A4671">
        <v>4670</v>
      </c>
      <c r="B4671" s="2">
        <v>418.88413543926418</v>
      </c>
    </row>
    <row r="4672" spans="1:2">
      <c r="A4672">
        <v>4671</v>
      </c>
      <c r="B4672" s="2">
        <v>285.94185319927175</v>
      </c>
    </row>
    <row r="4673" spans="1:2">
      <c r="A4673">
        <v>4672</v>
      </c>
      <c r="B4673" s="2">
        <v>262.40209395164675</v>
      </c>
    </row>
    <row r="4674" spans="1:2">
      <c r="A4674">
        <v>4673</v>
      </c>
      <c r="B4674" s="2">
        <v>447.22560701495416</v>
      </c>
    </row>
    <row r="4675" spans="1:2">
      <c r="A4675">
        <v>4674</v>
      </c>
      <c r="B4675" s="2">
        <v>240.59307471529968</v>
      </c>
    </row>
    <row r="4676" spans="1:2">
      <c r="A4676">
        <v>4675</v>
      </c>
      <c r="B4676" s="2">
        <v>379.27869845565885</v>
      </c>
    </row>
    <row r="4677" spans="1:2">
      <c r="A4677">
        <v>4676</v>
      </c>
      <c r="B4677" s="2">
        <v>243.88086274798448</v>
      </c>
    </row>
    <row r="4678" spans="1:2">
      <c r="A4678">
        <v>4677</v>
      </c>
      <c r="B4678" s="2">
        <v>482.44848803217081</v>
      </c>
    </row>
    <row r="4679" spans="1:2">
      <c r="A4679">
        <v>4678</v>
      </c>
      <c r="B4679" s="2">
        <v>346.33759274366918</v>
      </c>
    </row>
    <row r="4680" spans="1:2">
      <c r="A4680">
        <v>4679</v>
      </c>
      <c r="B4680" s="2">
        <v>297.42766788988411</v>
      </c>
    </row>
    <row r="4681" spans="1:2">
      <c r="A4681">
        <v>4680</v>
      </c>
      <c r="B4681" s="2">
        <v>410.15236369516589</v>
      </c>
    </row>
    <row r="4682" spans="1:2">
      <c r="A4682">
        <v>4681</v>
      </c>
      <c r="B4682" s="2">
        <v>383.6936797120884</v>
      </c>
    </row>
    <row r="4683" spans="1:2">
      <c r="A4683">
        <v>4682</v>
      </c>
      <c r="B4683" s="2">
        <v>394.10998083209631</v>
      </c>
    </row>
    <row r="4684" spans="1:2">
      <c r="A4684">
        <v>4683</v>
      </c>
      <c r="B4684" s="2">
        <v>285.59191380360016</v>
      </c>
    </row>
    <row r="4685" spans="1:2">
      <c r="A4685">
        <v>4684</v>
      </c>
      <c r="B4685" s="2">
        <v>260.97183089139719</v>
      </c>
    </row>
    <row r="4686" spans="1:2">
      <c r="A4686">
        <v>4685</v>
      </c>
      <c r="B4686" s="2">
        <v>503.32934557047497</v>
      </c>
    </row>
    <row r="4687" spans="1:2">
      <c r="A4687">
        <v>4686</v>
      </c>
      <c r="B4687" s="2">
        <v>391.92340001538889</v>
      </c>
    </row>
    <row r="4688" spans="1:2">
      <c r="A4688">
        <v>4687</v>
      </c>
      <c r="B4688" s="2">
        <v>340.88684233665629</v>
      </c>
    </row>
    <row r="4689" spans="1:2">
      <c r="A4689">
        <v>4688</v>
      </c>
      <c r="B4689" s="2">
        <v>343.98715699732122</v>
      </c>
    </row>
    <row r="4690" spans="1:2">
      <c r="A4690">
        <v>4689</v>
      </c>
      <c r="B4690" s="2">
        <v>313.08243515146114</v>
      </c>
    </row>
    <row r="4691" spans="1:2">
      <c r="A4691">
        <v>4690</v>
      </c>
      <c r="B4691" s="2">
        <v>240.78746775572941</v>
      </c>
    </row>
    <row r="4692" spans="1:2">
      <c r="A4692">
        <v>4691</v>
      </c>
      <c r="B4692" s="2">
        <v>364.76023027549428</v>
      </c>
    </row>
    <row r="4693" spans="1:2">
      <c r="A4693">
        <v>4692</v>
      </c>
      <c r="B4693" s="2">
        <v>257.00395616231958</v>
      </c>
    </row>
    <row r="4694" spans="1:2">
      <c r="A4694">
        <v>4693</v>
      </c>
      <c r="B4694" s="2">
        <v>329.12911745831224</v>
      </c>
    </row>
    <row r="4695" spans="1:2">
      <c r="A4695">
        <v>4694</v>
      </c>
      <c r="B4695" s="2">
        <v>360.95261497161044</v>
      </c>
    </row>
    <row r="4696" spans="1:2">
      <c r="A4696">
        <v>4695</v>
      </c>
      <c r="B4696" s="2">
        <v>394.63526280496097</v>
      </c>
    </row>
    <row r="4697" spans="1:2">
      <c r="A4697">
        <v>4696</v>
      </c>
      <c r="B4697" s="2">
        <v>397.11078033512223</v>
      </c>
    </row>
    <row r="4698" spans="1:2">
      <c r="A4698">
        <v>4697</v>
      </c>
      <c r="B4698" s="2">
        <v>167.042350323753</v>
      </c>
    </row>
    <row r="4699" spans="1:2">
      <c r="A4699">
        <v>4698</v>
      </c>
      <c r="B4699" s="2">
        <v>370.97628526709525</v>
      </c>
    </row>
    <row r="4700" spans="1:2">
      <c r="A4700">
        <v>4699</v>
      </c>
      <c r="B4700" s="2">
        <v>340.10664224139617</v>
      </c>
    </row>
    <row r="4701" spans="1:2">
      <c r="A4701">
        <v>4700</v>
      </c>
      <c r="B4701" s="2">
        <v>191.68538656505098</v>
      </c>
    </row>
    <row r="4702" spans="1:2">
      <c r="A4702">
        <v>4701</v>
      </c>
      <c r="B4702" s="2">
        <v>276.52997916774103</v>
      </c>
    </row>
    <row r="4703" spans="1:2">
      <c r="A4703">
        <v>4702</v>
      </c>
      <c r="B4703" s="2">
        <v>513.20929717296849</v>
      </c>
    </row>
    <row r="4704" spans="1:2">
      <c r="A4704">
        <v>4703</v>
      </c>
      <c r="B4704" s="2">
        <v>491.40211295944107</v>
      </c>
    </row>
    <row r="4705" spans="1:2">
      <c r="A4705">
        <v>4704</v>
      </c>
      <c r="B4705" s="2">
        <v>267.82856476947006</v>
      </c>
    </row>
    <row r="4706" spans="1:2">
      <c r="A4706">
        <v>4705</v>
      </c>
      <c r="B4706" s="2">
        <v>293.21516524024389</v>
      </c>
    </row>
    <row r="4707" spans="1:2">
      <c r="A4707">
        <v>4706</v>
      </c>
      <c r="B4707" s="2">
        <v>374.27874332074884</v>
      </c>
    </row>
    <row r="4708" spans="1:2">
      <c r="A4708">
        <v>4707</v>
      </c>
      <c r="B4708" s="2">
        <v>222.23553387413477</v>
      </c>
    </row>
    <row r="4709" spans="1:2">
      <c r="A4709">
        <v>4708</v>
      </c>
      <c r="B4709" s="2">
        <v>330.86458762992675</v>
      </c>
    </row>
    <row r="4710" spans="1:2">
      <c r="A4710">
        <v>4709</v>
      </c>
      <c r="B4710" s="2">
        <v>388.53642803783214</v>
      </c>
    </row>
    <row r="4711" spans="1:2">
      <c r="A4711">
        <v>4710</v>
      </c>
      <c r="B4711" s="2">
        <v>353.74937584762245</v>
      </c>
    </row>
    <row r="4712" spans="1:2">
      <c r="A4712">
        <v>4711</v>
      </c>
      <c r="B4712" s="2">
        <v>351.93417302318261</v>
      </c>
    </row>
    <row r="4713" spans="1:2">
      <c r="A4713">
        <v>4712</v>
      </c>
      <c r="B4713" s="2">
        <v>354.31207865912415</v>
      </c>
    </row>
    <row r="4714" spans="1:2">
      <c r="A4714">
        <v>4713</v>
      </c>
      <c r="B4714" s="2">
        <v>342.74683617244204</v>
      </c>
    </row>
    <row r="4715" spans="1:2">
      <c r="A4715">
        <v>4714</v>
      </c>
      <c r="B4715" s="2">
        <v>275.96949993494536</v>
      </c>
    </row>
    <row r="4716" spans="1:2">
      <c r="A4716">
        <v>4715</v>
      </c>
      <c r="B4716" s="2">
        <v>363.46935570959147</v>
      </c>
    </row>
    <row r="4717" spans="1:2">
      <c r="A4717">
        <v>4716</v>
      </c>
      <c r="B4717" s="2">
        <v>322.58033175017727</v>
      </c>
    </row>
    <row r="4718" spans="1:2">
      <c r="A4718">
        <v>4717</v>
      </c>
      <c r="B4718" s="2">
        <v>384.37738139443917</v>
      </c>
    </row>
    <row r="4719" spans="1:2">
      <c r="A4719">
        <v>4718</v>
      </c>
      <c r="B4719" s="2">
        <v>390.53890501483556</v>
      </c>
    </row>
    <row r="4720" spans="1:2">
      <c r="A4720">
        <v>4719</v>
      </c>
      <c r="B4720" s="2">
        <v>388.75543561558811</v>
      </c>
    </row>
    <row r="4721" spans="1:2">
      <c r="A4721">
        <v>4720</v>
      </c>
      <c r="B4721" s="2">
        <v>490.56563098066943</v>
      </c>
    </row>
    <row r="4722" spans="1:2">
      <c r="A4722">
        <v>4721</v>
      </c>
      <c r="B4722" s="2">
        <v>350.78463774110463</v>
      </c>
    </row>
    <row r="4723" spans="1:2">
      <c r="A4723">
        <v>4722</v>
      </c>
      <c r="B4723" s="2">
        <v>272.73663607695011</v>
      </c>
    </row>
    <row r="4724" spans="1:2">
      <c r="A4724">
        <v>4723</v>
      </c>
      <c r="B4724" s="2">
        <v>374.26429081717095</v>
      </c>
    </row>
    <row r="4725" spans="1:2">
      <c r="A4725">
        <v>4724</v>
      </c>
      <c r="B4725" s="2">
        <v>311.79446733114327</v>
      </c>
    </row>
    <row r="4726" spans="1:2">
      <c r="A4726">
        <v>4725</v>
      </c>
      <c r="B4726" s="2">
        <v>287.47479463820872</v>
      </c>
    </row>
    <row r="4727" spans="1:2">
      <c r="A4727">
        <v>4726</v>
      </c>
      <c r="B4727" s="2">
        <v>288.8651041588123</v>
      </c>
    </row>
    <row r="4728" spans="1:2">
      <c r="A4728">
        <v>4727</v>
      </c>
      <c r="B4728" s="2">
        <v>468.98783295105397</v>
      </c>
    </row>
    <row r="4729" spans="1:2">
      <c r="A4729">
        <v>4728</v>
      </c>
      <c r="B4729" s="2">
        <v>242.62126369815837</v>
      </c>
    </row>
    <row r="4730" spans="1:2">
      <c r="A4730">
        <v>4729</v>
      </c>
      <c r="B4730" s="2">
        <v>420.96400706364847</v>
      </c>
    </row>
    <row r="4731" spans="1:2">
      <c r="A4731">
        <v>4730</v>
      </c>
      <c r="B4731" s="2">
        <v>498.34752435747447</v>
      </c>
    </row>
    <row r="4732" spans="1:2">
      <c r="A4732">
        <v>4731</v>
      </c>
      <c r="B4732" s="2">
        <v>269.86411496081888</v>
      </c>
    </row>
    <row r="4733" spans="1:2">
      <c r="A4733">
        <v>4732</v>
      </c>
      <c r="B4733" s="2">
        <v>300.92365706073571</v>
      </c>
    </row>
    <row r="4734" spans="1:2">
      <c r="A4734">
        <v>4733</v>
      </c>
      <c r="B4734" s="2">
        <v>303.0313095964429</v>
      </c>
    </row>
    <row r="4735" spans="1:2">
      <c r="A4735">
        <v>4734</v>
      </c>
      <c r="B4735" s="2">
        <v>329.66100363933964</v>
      </c>
    </row>
    <row r="4736" spans="1:2">
      <c r="A4736">
        <v>4735</v>
      </c>
      <c r="B4736" s="2">
        <v>430.01904202815513</v>
      </c>
    </row>
    <row r="4737" spans="1:2">
      <c r="A4737">
        <v>4736</v>
      </c>
      <c r="B4737" s="2">
        <v>427.29848785405443</v>
      </c>
    </row>
    <row r="4738" spans="1:2">
      <c r="A4738">
        <v>4737</v>
      </c>
      <c r="B4738" s="2">
        <v>364.27259817655641</v>
      </c>
    </row>
    <row r="4739" spans="1:2">
      <c r="A4739">
        <v>4738</v>
      </c>
      <c r="B4739" s="2">
        <v>393.06202285627285</v>
      </c>
    </row>
    <row r="4740" spans="1:2">
      <c r="A4740">
        <v>4739</v>
      </c>
      <c r="B4740" s="2">
        <v>431.54374230688973</v>
      </c>
    </row>
    <row r="4741" spans="1:2">
      <c r="A4741">
        <v>4740</v>
      </c>
      <c r="B4741" s="2">
        <v>266.20920259292831</v>
      </c>
    </row>
    <row r="4742" spans="1:2">
      <c r="A4742">
        <v>4741</v>
      </c>
      <c r="B4742" s="2">
        <v>508.12275976596317</v>
      </c>
    </row>
    <row r="4743" spans="1:2">
      <c r="A4743">
        <v>4742</v>
      </c>
      <c r="B4743" s="2">
        <v>450.98288308415664</v>
      </c>
    </row>
    <row r="4744" spans="1:2">
      <c r="A4744">
        <v>4743</v>
      </c>
      <c r="B4744" s="2">
        <v>285.53210829229226</v>
      </c>
    </row>
    <row r="4745" spans="1:2">
      <c r="A4745">
        <v>4744</v>
      </c>
      <c r="B4745" s="2">
        <v>330.28762714545064</v>
      </c>
    </row>
    <row r="4746" spans="1:2">
      <c r="A4746">
        <v>4745</v>
      </c>
      <c r="B4746" s="2">
        <v>317.86776643785925</v>
      </c>
    </row>
    <row r="4747" spans="1:2">
      <c r="A4747">
        <v>4746</v>
      </c>
      <c r="B4747" s="2">
        <v>421.52664361196264</v>
      </c>
    </row>
    <row r="4748" spans="1:2">
      <c r="A4748">
        <v>4747</v>
      </c>
      <c r="B4748" s="2">
        <v>328.16243878795581</v>
      </c>
    </row>
    <row r="4749" spans="1:2">
      <c r="A4749">
        <v>4748</v>
      </c>
      <c r="B4749" s="2">
        <v>167.27579506661075</v>
      </c>
    </row>
    <row r="4750" spans="1:2">
      <c r="A4750">
        <v>4749</v>
      </c>
      <c r="B4750" s="2">
        <v>487.41320303491244</v>
      </c>
    </row>
    <row r="4751" spans="1:2">
      <c r="A4751">
        <v>4750</v>
      </c>
      <c r="B4751" s="2">
        <v>461.65060155584695</v>
      </c>
    </row>
    <row r="4752" spans="1:2">
      <c r="A4752">
        <v>4751</v>
      </c>
      <c r="B4752" s="2">
        <v>348.22860947448828</v>
      </c>
    </row>
    <row r="4753" spans="1:2">
      <c r="A4753">
        <v>4752</v>
      </c>
      <c r="B4753" s="2">
        <v>326.18672224917373</v>
      </c>
    </row>
    <row r="4754" spans="1:2">
      <c r="A4754">
        <v>4753</v>
      </c>
      <c r="B4754" s="2">
        <v>174.08265280432423</v>
      </c>
    </row>
    <row r="4755" spans="1:2">
      <c r="A4755">
        <v>4754</v>
      </c>
      <c r="B4755" s="2">
        <v>330.37280084337954</v>
      </c>
    </row>
    <row r="4756" spans="1:2">
      <c r="A4756">
        <v>4755</v>
      </c>
      <c r="B4756" s="2">
        <v>466.75748651449123</v>
      </c>
    </row>
    <row r="4757" spans="1:2">
      <c r="A4757">
        <v>4756</v>
      </c>
      <c r="B4757" s="2">
        <v>498.00714579196585</v>
      </c>
    </row>
    <row r="4758" spans="1:2">
      <c r="A4758">
        <v>4757</v>
      </c>
      <c r="B4758" s="2">
        <v>305.79810050439437</v>
      </c>
    </row>
    <row r="4759" spans="1:2">
      <c r="A4759">
        <v>4758</v>
      </c>
      <c r="B4759" s="2">
        <v>379.53568596809782</v>
      </c>
    </row>
    <row r="4760" spans="1:2">
      <c r="A4760">
        <v>4759</v>
      </c>
      <c r="B4760" s="2">
        <v>371.61081046454422</v>
      </c>
    </row>
    <row r="4761" spans="1:2">
      <c r="A4761">
        <v>4760</v>
      </c>
      <c r="B4761" s="2">
        <v>498.4004157533372</v>
      </c>
    </row>
    <row r="4762" spans="1:2">
      <c r="A4762">
        <v>4761</v>
      </c>
      <c r="B4762" s="2">
        <v>238.58007019159993</v>
      </c>
    </row>
    <row r="4763" spans="1:2">
      <c r="A4763">
        <v>4762</v>
      </c>
      <c r="B4763" s="2">
        <v>255.67035838438241</v>
      </c>
    </row>
    <row r="4764" spans="1:2">
      <c r="A4764">
        <v>4763</v>
      </c>
      <c r="B4764" s="2">
        <v>427.12184219459942</v>
      </c>
    </row>
    <row r="4765" spans="1:2">
      <c r="A4765">
        <v>4764</v>
      </c>
      <c r="B4765" s="2">
        <v>322.3674826583873</v>
      </c>
    </row>
    <row r="4766" spans="1:2">
      <c r="A4766">
        <v>4765</v>
      </c>
      <c r="B4766" s="2">
        <v>227.30876149659707</v>
      </c>
    </row>
    <row r="4767" spans="1:2">
      <c r="A4767">
        <v>4766</v>
      </c>
      <c r="B4767" s="2">
        <v>272.69159893851827</v>
      </c>
    </row>
    <row r="4768" spans="1:2">
      <c r="A4768">
        <v>4767</v>
      </c>
      <c r="B4768" s="2">
        <v>429.99441990951931</v>
      </c>
    </row>
    <row r="4769" spans="1:2">
      <c r="A4769">
        <v>4768</v>
      </c>
      <c r="B4769" s="2">
        <v>381.15296922350302</v>
      </c>
    </row>
    <row r="4770" spans="1:2">
      <c r="A4770">
        <v>4769</v>
      </c>
      <c r="B4770" s="2">
        <v>243.97577815998858</v>
      </c>
    </row>
    <row r="4771" spans="1:2">
      <c r="A4771">
        <v>4770</v>
      </c>
      <c r="B4771" s="2">
        <v>354.89054235909873</v>
      </c>
    </row>
    <row r="4772" spans="1:2">
      <c r="A4772">
        <v>4771</v>
      </c>
      <c r="B4772" s="2">
        <v>363.27651873447871</v>
      </c>
    </row>
    <row r="4773" spans="1:2">
      <c r="A4773">
        <v>4772</v>
      </c>
      <c r="B4773" s="2">
        <v>368.74945147720689</v>
      </c>
    </row>
    <row r="4774" spans="1:2">
      <c r="A4774">
        <v>4773</v>
      </c>
      <c r="B4774" s="2">
        <v>359.17821549771361</v>
      </c>
    </row>
    <row r="4775" spans="1:2">
      <c r="A4775">
        <v>4774</v>
      </c>
      <c r="B4775" s="2">
        <v>333.57915125200793</v>
      </c>
    </row>
    <row r="4776" spans="1:2">
      <c r="A4776">
        <v>4775</v>
      </c>
      <c r="B4776" s="2">
        <v>332.44569391632069</v>
      </c>
    </row>
    <row r="4777" spans="1:2">
      <c r="A4777">
        <v>4776</v>
      </c>
      <c r="B4777" s="2">
        <v>252.58093123111331</v>
      </c>
    </row>
    <row r="4778" spans="1:2">
      <c r="A4778">
        <v>4777</v>
      </c>
      <c r="B4778" s="2">
        <v>296.86864329934019</v>
      </c>
    </row>
    <row r="4779" spans="1:2">
      <c r="A4779">
        <v>4778</v>
      </c>
      <c r="B4779" s="2">
        <v>371.76730752115611</v>
      </c>
    </row>
    <row r="4780" spans="1:2">
      <c r="A4780">
        <v>4779</v>
      </c>
      <c r="B4780" s="2">
        <v>361.67518632968432</v>
      </c>
    </row>
    <row r="4781" spans="1:2">
      <c r="A4781">
        <v>4780</v>
      </c>
      <c r="B4781" s="2">
        <v>373.26012180401881</v>
      </c>
    </row>
    <row r="4782" spans="1:2">
      <c r="A4782">
        <v>4781</v>
      </c>
      <c r="B4782" s="2">
        <v>349.80461438232032</v>
      </c>
    </row>
    <row r="4783" spans="1:2">
      <c r="A4783">
        <v>4782</v>
      </c>
      <c r="B4783" s="2">
        <v>461.79552394412883</v>
      </c>
    </row>
    <row r="4784" spans="1:2">
      <c r="A4784">
        <v>4783</v>
      </c>
      <c r="B4784" s="2">
        <v>349.63945842005546</v>
      </c>
    </row>
    <row r="4785" spans="1:2">
      <c r="A4785">
        <v>4784</v>
      </c>
      <c r="B4785" s="2">
        <v>469.9097435869694</v>
      </c>
    </row>
    <row r="4786" spans="1:2">
      <c r="A4786">
        <v>4785</v>
      </c>
      <c r="B4786" s="2">
        <v>296.0916998146829</v>
      </c>
    </row>
    <row r="4787" spans="1:2">
      <c r="A4787">
        <v>4786</v>
      </c>
      <c r="B4787" s="2">
        <v>326.53863783129236</v>
      </c>
    </row>
    <row r="4788" spans="1:2">
      <c r="A4788">
        <v>4787</v>
      </c>
      <c r="B4788" s="2">
        <v>346.72861396973713</v>
      </c>
    </row>
    <row r="4789" spans="1:2">
      <c r="A4789">
        <v>4788</v>
      </c>
      <c r="B4789" s="2">
        <v>407.8601631990548</v>
      </c>
    </row>
    <row r="4790" spans="1:2">
      <c r="A4790">
        <v>4789</v>
      </c>
      <c r="B4790" s="2">
        <v>302.20428363599422</v>
      </c>
    </row>
    <row r="4791" spans="1:2">
      <c r="A4791">
        <v>4790</v>
      </c>
      <c r="B4791" s="2">
        <v>336.83775599036409</v>
      </c>
    </row>
    <row r="4792" spans="1:2">
      <c r="A4792">
        <v>4791</v>
      </c>
      <c r="B4792" s="2">
        <v>317.78611107265129</v>
      </c>
    </row>
    <row r="4793" spans="1:2">
      <c r="A4793">
        <v>4792</v>
      </c>
      <c r="B4793" s="2">
        <v>482.1778239077978</v>
      </c>
    </row>
    <row r="4794" spans="1:2">
      <c r="A4794">
        <v>4793</v>
      </c>
      <c r="B4794" s="2">
        <v>320.82645142919216</v>
      </c>
    </row>
    <row r="4795" spans="1:2">
      <c r="A4795">
        <v>4794</v>
      </c>
      <c r="B4795" s="2">
        <v>360.91148919813844</v>
      </c>
    </row>
    <row r="4796" spans="1:2">
      <c r="A4796">
        <v>4795</v>
      </c>
      <c r="B4796" s="2">
        <v>322.34650574620304</v>
      </c>
    </row>
    <row r="4797" spans="1:2">
      <c r="A4797">
        <v>4796</v>
      </c>
      <c r="B4797" s="2">
        <v>324.80326703374232</v>
      </c>
    </row>
    <row r="4798" spans="1:2">
      <c r="A4798">
        <v>4797</v>
      </c>
      <c r="B4798" s="2">
        <v>383.28382547949411</v>
      </c>
    </row>
    <row r="4799" spans="1:2">
      <c r="A4799">
        <v>4798</v>
      </c>
      <c r="B4799" s="2">
        <v>401.96970203035147</v>
      </c>
    </row>
    <row r="4800" spans="1:2">
      <c r="A4800">
        <v>4799</v>
      </c>
      <c r="B4800" s="2">
        <v>299.7580143832206</v>
      </c>
    </row>
    <row r="4801" spans="1:2">
      <c r="A4801">
        <v>4800</v>
      </c>
      <c r="B4801" s="2">
        <v>412.11460423771518</v>
      </c>
    </row>
    <row r="4802" spans="1:2">
      <c r="A4802">
        <v>4801</v>
      </c>
      <c r="B4802" s="2">
        <v>325.19052674793363</v>
      </c>
    </row>
    <row r="4803" spans="1:2">
      <c r="A4803">
        <v>4802</v>
      </c>
      <c r="B4803" s="2">
        <v>328.71305535941178</v>
      </c>
    </row>
    <row r="4804" spans="1:2">
      <c r="A4804">
        <v>4803</v>
      </c>
      <c r="B4804" s="2">
        <v>432.49382938401743</v>
      </c>
    </row>
    <row r="4805" spans="1:2">
      <c r="A4805">
        <v>4804</v>
      </c>
      <c r="B4805" s="2">
        <v>345.02360531586351</v>
      </c>
    </row>
    <row r="4806" spans="1:2">
      <c r="A4806">
        <v>4805</v>
      </c>
      <c r="B4806" s="2">
        <v>445.17666779234361</v>
      </c>
    </row>
    <row r="4807" spans="1:2">
      <c r="A4807">
        <v>4806</v>
      </c>
      <c r="B4807" s="2">
        <v>215.36921803558448</v>
      </c>
    </row>
    <row r="4808" spans="1:2">
      <c r="A4808">
        <v>4807</v>
      </c>
      <c r="B4808" s="2">
        <v>402.8015954531237</v>
      </c>
    </row>
    <row r="4809" spans="1:2">
      <c r="A4809">
        <v>4808</v>
      </c>
      <c r="B4809" s="2">
        <v>344.86894988475058</v>
      </c>
    </row>
    <row r="4810" spans="1:2">
      <c r="A4810">
        <v>4809</v>
      </c>
      <c r="B4810" s="2">
        <v>198.23246636773416</v>
      </c>
    </row>
    <row r="4811" spans="1:2">
      <c r="A4811">
        <v>4810</v>
      </c>
      <c r="B4811" s="2">
        <v>316.97294090630527</v>
      </c>
    </row>
    <row r="4812" spans="1:2">
      <c r="A4812">
        <v>4811</v>
      </c>
      <c r="B4812" s="2">
        <v>229.91944802579951</v>
      </c>
    </row>
    <row r="4813" spans="1:2">
      <c r="A4813">
        <v>4812</v>
      </c>
      <c r="B4813" s="2">
        <v>319.20716234770691</v>
      </c>
    </row>
    <row r="4814" spans="1:2">
      <c r="A4814">
        <v>4813</v>
      </c>
      <c r="B4814" s="2">
        <v>299.02020183525167</v>
      </c>
    </row>
    <row r="4815" spans="1:2">
      <c r="A4815">
        <v>4814</v>
      </c>
      <c r="B4815" s="2">
        <v>211.91053060430221</v>
      </c>
    </row>
    <row r="4816" spans="1:2">
      <c r="A4816">
        <v>4815</v>
      </c>
      <c r="B4816" s="2">
        <v>283.68689700793141</v>
      </c>
    </row>
    <row r="4817" spans="1:2">
      <c r="A4817">
        <v>4816</v>
      </c>
      <c r="B4817" s="2">
        <v>367.25562261315463</v>
      </c>
    </row>
    <row r="4818" spans="1:2">
      <c r="A4818">
        <v>4817</v>
      </c>
      <c r="B4818" s="2">
        <v>365.12837829309535</v>
      </c>
    </row>
    <row r="4819" spans="1:2">
      <c r="A4819">
        <v>4818</v>
      </c>
      <c r="B4819" s="2">
        <v>330.10045570077489</v>
      </c>
    </row>
    <row r="4820" spans="1:2">
      <c r="A4820">
        <v>4819</v>
      </c>
      <c r="B4820" s="2">
        <v>276.13102434613654</v>
      </c>
    </row>
    <row r="4821" spans="1:2">
      <c r="A4821">
        <v>4820</v>
      </c>
      <c r="B4821" s="2">
        <v>360.22795136856251</v>
      </c>
    </row>
    <row r="4822" spans="1:2">
      <c r="A4822">
        <v>4821</v>
      </c>
      <c r="B4822" s="2">
        <v>376.04237769217667</v>
      </c>
    </row>
    <row r="4823" spans="1:2">
      <c r="A4823">
        <v>4822</v>
      </c>
      <c r="B4823" s="2">
        <v>292.19321156929004</v>
      </c>
    </row>
    <row r="4824" spans="1:2">
      <c r="A4824">
        <v>4823</v>
      </c>
      <c r="B4824" s="2">
        <v>424.58019268777957</v>
      </c>
    </row>
    <row r="4825" spans="1:2">
      <c r="A4825">
        <v>4824</v>
      </c>
      <c r="B4825" s="2">
        <v>381.11284780639386</v>
      </c>
    </row>
    <row r="4826" spans="1:2">
      <c r="A4826">
        <v>4825</v>
      </c>
      <c r="B4826" s="2">
        <v>394.0736690295135</v>
      </c>
    </row>
    <row r="4827" spans="1:2">
      <c r="A4827">
        <v>4826</v>
      </c>
      <c r="B4827" s="2">
        <v>244.83039916990876</v>
      </c>
    </row>
    <row r="4828" spans="1:2">
      <c r="A4828">
        <v>4827</v>
      </c>
      <c r="B4828" s="2">
        <v>341.0186804748754</v>
      </c>
    </row>
    <row r="4829" spans="1:2">
      <c r="A4829">
        <v>4828</v>
      </c>
      <c r="B4829" s="2">
        <v>228.54647909092625</v>
      </c>
    </row>
    <row r="4830" spans="1:2">
      <c r="A4830">
        <v>4829</v>
      </c>
      <c r="B4830" s="2">
        <v>433.66673922945608</v>
      </c>
    </row>
    <row r="4831" spans="1:2">
      <c r="A4831">
        <v>4830</v>
      </c>
      <c r="B4831" s="2">
        <v>420.55612454304526</v>
      </c>
    </row>
    <row r="4832" spans="1:2">
      <c r="A4832">
        <v>4831</v>
      </c>
      <c r="B4832" s="2">
        <v>420.89566108305826</v>
      </c>
    </row>
    <row r="4833" spans="1:2">
      <c r="A4833">
        <v>4832</v>
      </c>
      <c r="B4833" s="2">
        <v>384.94171032408894</v>
      </c>
    </row>
    <row r="4834" spans="1:2">
      <c r="A4834">
        <v>4833</v>
      </c>
      <c r="B4834" s="2">
        <v>437.44979721253782</v>
      </c>
    </row>
    <row r="4835" spans="1:2">
      <c r="A4835">
        <v>4834</v>
      </c>
      <c r="B4835" s="2">
        <v>393.25030861212252</v>
      </c>
    </row>
    <row r="4836" spans="1:2">
      <c r="A4836">
        <v>4835</v>
      </c>
      <c r="B4836" s="2">
        <v>309.63540404874942</v>
      </c>
    </row>
    <row r="4837" spans="1:2">
      <c r="A4837">
        <v>4836</v>
      </c>
      <c r="B4837" s="2">
        <v>134.58592365437516</v>
      </c>
    </row>
    <row r="4838" spans="1:2">
      <c r="A4838">
        <v>4837</v>
      </c>
      <c r="B4838" s="2">
        <v>376.87973435684222</v>
      </c>
    </row>
    <row r="4839" spans="1:2">
      <c r="A4839">
        <v>4838</v>
      </c>
      <c r="B4839" s="2">
        <v>274.3753953094598</v>
      </c>
    </row>
    <row r="4840" spans="1:2">
      <c r="A4840">
        <v>4839</v>
      </c>
      <c r="B4840" s="2">
        <v>403.41969215016104</v>
      </c>
    </row>
    <row r="4841" spans="1:2">
      <c r="A4841">
        <v>4840</v>
      </c>
      <c r="B4841" s="2">
        <v>434.36245755233244</v>
      </c>
    </row>
    <row r="4842" spans="1:2">
      <c r="A4842">
        <v>4841</v>
      </c>
      <c r="B4842" s="2">
        <v>257.55386386651554</v>
      </c>
    </row>
    <row r="4843" spans="1:2">
      <c r="A4843">
        <v>4842</v>
      </c>
      <c r="B4843" s="2">
        <v>351.74666097843482</v>
      </c>
    </row>
    <row r="4844" spans="1:2">
      <c r="A4844">
        <v>4843</v>
      </c>
      <c r="B4844" s="2">
        <v>275.97946999077135</v>
      </c>
    </row>
    <row r="4845" spans="1:2">
      <c r="A4845">
        <v>4844</v>
      </c>
      <c r="B4845" s="2">
        <v>224.17698288576418</v>
      </c>
    </row>
    <row r="4846" spans="1:2">
      <c r="A4846">
        <v>4845</v>
      </c>
      <c r="B4846" s="2">
        <v>445.0484683159757</v>
      </c>
    </row>
    <row r="4847" spans="1:2">
      <c r="A4847">
        <v>4846</v>
      </c>
      <c r="B4847" s="2">
        <v>317.97008447807792</v>
      </c>
    </row>
    <row r="4848" spans="1:2">
      <c r="A4848">
        <v>4847</v>
      </c>
      <c r="B4848" s="2">
        <v>226.99983873710761</v>
      </c>
    </row>
    <row r="4849" spans="1:2">
      <c r="A4849">
        <v>4848</v>
      </c>
      <c r="B4849" s="2">
        <v>344.5665759046363</v>
      </c>
    </row>
    <row r="4850" spans="1:2">
      <c r="A4850">
        <v>4849</v>
      </c>
      <c r="B4850" s="2">
        <v>253.81994085785067</v>
      </c>
    </row>
    <row r="4851" spans="1:2">
      <c r="A4851">
        <v>4850</v>
      </c>
      <c r="B4851" s="2">
        <v>425.7909274742957</v>
      </c>
    </row>
    <row r="4852" spans="1:2">
      <c r="A4852">
        <v>4851</v>
      </c>
      <c r="B4852" s="2">
        <v>392.19280522062849</v>
      </c>
    </row>
    <row r="4853" spans="1:2">
      <c r="A4853">
        <v>4852</v>
      </c>
      <c r="B4853" s="2">
        <v>274.15165242324781</v>
      </c>
    </row>
    <row r="4854" spans="1:2">
      <c r="A4854">
        <v>4853</v>
      </c>
      <c r="B4854" s="2">
        <v>433.6782418161597</v>
      </c>
    </row>
    <row r="4855" spans="1:2">
      <c r="A4855">
        <v>4854</v>
      </c>
      <c r="B4855" s="2">
        <v>482.49671981416213</v>
      </c>
    </row>
    <row r="4856" spans="1:2">
      <c r="A4856">
        <v>4855</v>
      </c>
      <c r="B4856" s="2">
        <v>400.50169622862217</v>
      </c>
    </row>
    <row r="4857" spans="1:2">
      <c r="A4857">
        <v>4856</v>
      </c>
      <c r="B4857" s="2">
        <v>207.03973227034669</v>
      </c>
    </row>
    <row r="4858" spans="1:2">
      <c r="A4858">
        <v>4857</v>
      </c>
      <c r="B4858" s="2">
        <v>455.02422995373536</v>
      </c>
    </row>
    <row r="4859" spans="1:2">
      <c r="A4859">
        <v>4858</v>
      </c>
      <c r="B4859" s="2">
        <v>580.81211008175126</v>
      </c>
    </row>
    <row r="4860" spans="1:2">
      <c r="A4860">
        <v>4859</v>
      </c>
      <c r="B4860" s="2">
        <v>389.25460317030945</v>
      </c>
    </row>
    <row r="4861" spans="1:2">
      <c r="A4861">
        <v>4860</v>
      </c>
      <c r="B4861" s="2">
        <v>348.67274236098774</v>
      </c>
    </row>
    <row r="4862" spans="1:2">
      <c r="A4862">
        <v>4861</v>
      </c>
      <c r="B4862" s="2">
        <v>393.33011086506917</v>
      </c>
    </row>
    <row r="4863" spans="1:2">
      <c r="A4863">
        <v>4862</v>
      </c>
      <c r="B4863" s="2">
        <v>414.63907358216233</v>
      </c>
    </row>
    <row r="4864" spans="1:2">
      <c r="A4864">
        <v>4863</v>
      </c>
      <c r="B4864" s="2">
        <v>364.39806237201861</v>
      </c>
    </row>
    <row r="4865" spans="1:2">
      <c r="A4865">
        <v>4864</v>
      </c>
      <c r="B4865" s="2">
        <v>436.0553205214502</v>
      </c>
    </row>
    <row r="4866" spans="1:2">
      <c r="A4866">
        <v>4865</v>
      </c>
      <c r="B4866" s="2">
        <v>155.8410453394502</v>
      </c>
    </row>
    <row r="4867" spans="1:2">
      <c r="A4867">
        <v>4866</v>
      </c>
      <c r="B4867" s="2">
        <v>459.70776116075012</v>
      </c>
    </row>
    <row r="4868" spans="1:2">
      <c r="A4868">
        <v>4867</v>
      </c>
      <c r="B4868" s="2">
        <v>434.00240843440571</v>
      </c>
    </row>
    <row r="4869" spans="1:2">
      <c r="A4869">
        <v>4868</v>
      </c>
      <c r="B4869" s="2">
        <v>347.87855180984008</v>
      </c>
    </row>
    <row r="4870" spans="1:2">
      <c r="A4870">
        <v>4869</v>
      </c>
      <c r="B4870" s="2">
        <v>431.29707334519287</v>
      </c>
    </row>
    <row r="4871" spans="1:2">
      <c r="A4871">
        <v>4870</v>
      </c>
      <c r="B4871" s="2">
        <v>365.00831310673209</v>
      </c>
    </row>
    <row r="4872" spans="1:2">
      <c r="A4872">
        <v>4871</v>
      </c>
      <c r="B4872" s="2">
        <v>167.60895338857188</v>
      </c>
    </row>
    <row r="4873" spans="1:2">
      <c r="A4873">
        <v>4872</v>
      </c>
      <c r="B4873" s="2">
        <v>359.47018238788928</v>
      </c>
    </row>
    <row r="4874" spans="1:2">
      <c r="A4874">
        <v>4873</v>
      </c>
      <c r="B4874" s="2">
        <v>281.65050805330861</v>
      </c>
    </row>
    <row r="4875" spans="1:2">
      <c r="A4875">
        <v>4874</v>
      </c>
      <c r="B4875" s="2">
        <v>271.70099793079584</v>
      </c>
    </row>
    <row r="4876" spans="1:2">
      <c r="A4876">
        <v>4875</v>
      </c>
      <c r="B4876" s="2">
        <v>390.23309211129543</v>
      </c>
    </row>
    <row r="4877" spans="1:2">
      <c r="A4877">
        <v>4876</v>
      </c>
      <c r="B4877" s="2">
        <v>315.22320105440838</v>
      </c>
    </row>
    <row r="4878" spans="1:2">
      <c r="A4878">
        <v>4877</v>
      </c>
      <c r="B4878" s="2">
        <v>309.7258396836055</v>
      </c>
    </row>
    <row r="4879" spans="1:2">
      <c r="A4879">
        <v>4878</v>
      </c>
      <c r="B4879" s="2">
        <v>283.86824156943851</v>
      </c>
    </row>
    <row r="4880" spans="1:2">
      <c r="A4880">
        <v>4879</v>
      </c>
      <c r="B4880" s="2">
        <v>301.60053255160165</v>
      </c>
    </row>
    <row r="4881" spans="1:2">
      <c r="A4881">
        <v>4880</v>
      </c>
      <c r="B4881" s="2">
        <v>406.58380811072988</v>
      </c>
    </row>
    <row r="4882" spans="1:2">
      <c r="A4882">
        <v>4881</v>
      </c>
      <c r="B4882" s="2">
        <v>143.89977083783168</v>
      </c>
    </row>
    <row r="4883" spans="1:2">
      <c r="A4883">
        <v>4882</v>
      </c>
      <c r="B4883" s="2">
        <v>513.46195584653924</v>
      </c>
    </row>
    <row r="4884" spans="1:2">
      <c r="A4884">
        <v>4883</v>
      </c>
      <c r="B4884" s="2">
        <v>371.09477687546155</v>
      </c>
    </row>
    <row r="4885" spans="1:2">
      <c r="A4885">
        <v>4884</v>
      </c>
      <c r="B4885" s="2">
        <v>241.53537540903156</v>
      </c>
    </row>
    <row r="4886" spans="1:2">
      <c r="A4886">
        <v>4885</v>
      </c>
      <c r="B4886" s="2">
        <v>311.29969107265902</v>
      </c>
    </row>
    <row r="4887" spans="1:2">
      <c r="A4887">
        <v>4886</v>
      </c>
      <c r="B4887" s="2">
        <v>504.6537937325503</v>
      </c>
    </row>
    <row r="4888" spans="1:2">
      <c r="A4888">
        <v>4887</v>
      </c>
      <c r="B4888" s="2">
        <v>358.68937393869777</v>
      </c>
    </row>
    <row r="4889" spans="1:2">
      <c r="A4889">
        <v>4888</v>
      </c>
      <c r="B4889" s="2">
        <v>311.6929839495354</v>
      </c>
    </row>
    <row r="4890" spans="1:2">
      <c r="A4890">
        <v>4889</v>
      </c>
      <c r="B4890" s="2">
        <v>424.47385625097195</v>
      </c>
    </row>
    <row r="4891" spans="1:2">
      <c r="A4891">
        <v>4890</v>
      </c>
      <c r="B4891" s="2">
        <v>353.06320562674836</v>
      </c>
    </row>
    <row r="4892" spans="1:2">
      <c r="A4892">
        <v>4891</v>
      </c>
      <c r="B4892" s="2">
        <v>195.20746265193333</v>
      </c>
    </row>
    <row r="4893" spans="1:2">
      <c r="A4893">
        <v>4892</v>
      </c>
      <c r="B4893" s="2">
        <v>408.68398031237552</v>
      </c>
    </row>
    <row r="4894" spans="1:2">
      <c r="A4894">
        <v>4893</v>
      </c>
      <c r="B4894" s="2">
        <v>316.94199245107177</v>
      </c>
    </row>
    <row r="4895" spans="1:2">
      <c r="A4895">
        <v>4894</v>
      </c>
      <c r="B4895" s="2">
        <v>243.76954764800837</v>
      </c>
    </row>
    <row r="4896" spans="1:2">
      <c r="A4896">
        <v>4895</v>
      </c>
      <c r="B4896" s="2">
        <v>328.006673496612</v>
      </c>
    </row>
    <row r="4897" spans="1:2">
      <c r="A4897">
        <v>4896</v>
      </c>
      <c r="B4897" s="2">
        <v>191.15448790096718</v>
      </c>
    </row>
    <row r="4898" spans="1:2">
      <c r="A4898">
        <v>4897</v>
      </c>
      <c r="B4898" s="2">
        <v>478.05631486193715</v>
      </c>
    </row>
    <row r="4899" spans="1:2">
      <c r="A4899">
        <v>4898</v>
      </c>
      <c r="B4899" s="2">
        <v>433.32335058800533</v>
      </c>
    </row>
    <row r="4900" spans="1:2">
      <c r="A4900">
        <v>4899</v>
      </c>
      <c r="B4900" s="2">
        <v>327.28507801030463</v>
      </c>
    </row>
    <row r="4901" spans="1:2">
      <c r="A4901">
        <v>4900</v>
      </c>
      <c r="B4901" s="2">
        <v>232.66005748227224</v>
      </c>
    </row>
    <row r="4902" spans="1:2">
      <c r="A4902">
        <v>4901</v>
      </c>
      <c r="B4902" s="2">
        <v>445.52511216951376</v>
      </c>
    </row>
    <row r="4903" spans="1:2">
      <c r="A4903">
        <v>4902</v>
      </c>
      <c r="B4903" s="2">
        <v>249.08658533642293</v>
      </c>
    </row>
    <row r="4904" spans="1:2">
      <c r="A4904">
        <v>4903</v>
      </c>
      <c r="B4904" s="2">
        <v>372.66072110058656</v>
      </c>
    </row>
    <row r="4905" spans="1:2">
      <c r="A4905">
        <v>4904</v>
      </c>
      <c r="B4905" s="2">
        <v>281.6737757189743</v>
      </c>
    </row>
    <row r="4906" spans="1:2">
      <c r="A4906">
        <v>4905</v>
      </c>
      <c r="B4906" s="2">
        <v>298.241368749755</v>
      </c>
    </row>
    <row r="4907" spans="1:2">
      <c r="A4907">
        <v>4906</v>
      </c>
      <c r="B4907" s="2">
        <v>256.98571721897019</v>
      </c>
    </row>
    <row r="4908" spans="1:2">
      <c r="A4908">
        <v>4907</v>
      </c>
      <c r="B4908" s="2">
        <v>286.57839506531053</v>
      </c>
    </row>
    <row r="4909" spans="1:2">
      <c r="A4909">
        <v>4908</v>
      </c>
      <c r="B4909" s="2">
        <v>361.09952665993768</v>
      </c>
    </row>
    <row r="4910" spans="1:2">
      <c r="A4910">
        <v>4909</v>
      </c>
      <c r="B4910" s="2">
        <v>380.33649184887719</v>
      </c>
    </row>
    <row r="4911" spans="1:2">
      <c r="A4911">
        <v>4910</v>
      </c>
      <c r="B4911" s="2">
        <v>393.45708323636222</v>
      </c>
    </row>
    <row r="4912" spans="1:2">
      <c r="A4912">
        <v>4911</v>
      </c>
      <c r="B4912" s="2">
        <v>494.92995543576285</v>
      </c>
    </row>
    <row r="4913" spans="1:2">
      <c r="A4913">
        <v>4912</v>
      </c>
      <c r="B4913" s="2">
        <v>202.84181219983489</v>
      </c>
    </row>
    <row r="4914" spans="1:2">
      <c r="A4914">
        <v>4913</v>
      </c>
      <c r="B4914" s="2">
        <v>308.59137759930161</v>
      </c>
    </row>
    <row r="4915" spans="1:2">
      <c r="A4915">
        <v>4914</v>
      </c>
      <c r="B4915" s="2">
        <v>138.67887921057243</v>
      </c>
    </row>
    <row r="4916" spans="1:2">
      <c r="A4916">
        <v>4915</v>
      </c>
      <c r="B4916" s="2">
        <v>369.71226171874491</v>
      </c>
    </row>
    <row r="4917" spans="1:2">
      <c r="A4917">
        <v>4916</v>
      </c>
      <c r="B4917" s="2">
        <v>416.05825879745242</v>
      </c>
    </row>
    <row r="4918" spans="1:2">
      <c r="A4918">
        <v>4917</v>
      </c>
      <c r="B4918" s="2">
        <v>428.65958264190573</v>
      </c>
    </row>
    <row r="4919" spans="1:2">
      <c r="A4919">
        <v>4918</v>
      </c>
      <c r="B4919" s="2">
        <v>322.08756396521744</v>
      </c>
    </row>
    <row r="4920" spans="1:2">
      <c r="A4920">
        <v>4919</v>
      </c>
      <c r="B4920" s="2">
        <v>408.18344030230435</v>
      </c>
    </row>
    <row r="4921" spans="1:2">
      <c r="A4921">
        <v>4920</v>
      </c>
      <c r="B4921" s="2">
        <v>391.1747760215718</v>
      </c>
    </row>
    <row r="4922" spans="1:2">
      <c r="A4922">
        <v>4921</v>
      </c>
      <c r="B4922" s="2">
        <v>392.08400190880963</v>
      </c>
    </row>
    <row r="4923" spans="1:2">
      <c r="A4923">
        <v>4922</v>
      </c>
      <c r="B4923" s="2">
        <v>285.46152409479265</v>
      </c>
    </row>
    <row r="4924" spans="1:2">
      <c r="A4924">
        <v>4923</v>
      </c>
      <c r="B4924" s="2">
        <v>408.64968124728171</v>
      </c>
    </row>
    <row r="4925" spans="1:2">
      <c r="A4925">
        <v>4924</v>
      </c>
      <c r="B4925" s="2">
        <v>388.03342727501627</v>
      </c>
    </row>
    <row r="4926" spans="1:2">
      <c r="A4926">
        <v>4925</v>
      </c>
      <c r="B4926" s="2">
        <v>273.37094672547141</v>
      </c>
    </row>
    <row r="4927" spans="1:2">
      <c r="A4927">
        <v>4926</v>
      </c>
      <c r="B4927" s="2">
        <v>234.6276077682912</v>
      </c>
    </row>
    <row r="4928" spans="1:2">
      <c r="A4928">
        <v>4927</v>
      </c>
      <c r="B4928" s="2">
        <v>447.35940418344416</v>
      </c>
    </row>
    <row r="4929" spans="1:2">
      <c r="A4929">
        <v>4928</v>
      </c>
      <c r="B4929" s="2">
        <v>380.80452186691622</v>
      </c>
    </row>
    <row r="4930" spans="1:2">
      <c r="A4930">
        <v>4929</v>
      </c>
      <c r="B4930" s="2">
        <v>389.30608093418005</v>
      </c>
    </row>
    <row r="4931" spans="1:2">
      <c r="A4931">
        <v>4930</v>
      </c>
      <c r="B4931" s="2">
        <v>265.11238014770163</v>
      </c>
    </row>
    <row r="4932" spans="1:2">
      <c r="A4932">
        <v>4931</v>
      </c>
      <c r="B4932" s="2">
        <v>233.13472574752535</v>
      </c>
    </row>
    <row r="4933" spans="1:2">
      <c r="A4933">
        <v>4932</v>
      </c>
      <c r="B4933" s="2">
        <v>233.68444008192026</v>
      </c>
    </row>
    <row r="4934" spans="1:2">
      <c r="A4934">
        <v>4933</v>
      </c>
      <c r="B4934" s="2">
        <v>372.55529977129743</v>
      </c>
    </row>
    <row r="4935" spans="1:2">
      <c r="A4935">
        <v>4934</v>
      </c>
      <c r="B4935" s="2">
        <v>376.23386206189076</v>
      </c>
    </row>
    <row r="4936" spans="1:2">
      <c r="A4936">
        <v>4935</v>
      </c>
      <c r="B4936" s="2">
        <v>293.71321505630357</v>
      </c>
    </row>
    <row r="4937" spans="1:2">
      <c r="A4937">
        <v>4936</v>
      </c>
      <c r="B4937" s="2">
        <v>333.94669959704572</v>
      </c>
    </row>
    <row r="4938" spans="1:2">
      <c r="A4938">
        <v>4937</v>
      </c>
      <c r="B4938" s="2">
        <v>469.7095221111079</v>
      </c>
    </row>
    <row r="4939" spans="1:2">
      <c r="A4939">
        <v>4938</v>
      </c>
      <c r="B4939" s="2">
        <v>333.84889592281098</v>
      </c>
    </row>
    <row r="4940" spans="1:2">
      <c r="A4940">
        <v>4939</v>
      </c>
      <c r="B4940" s="2">
        <v>242.61228407879878</v>
      </c>
    </row>
    <row r="4941" spans="1:2">
      <c r="A4941">
        <v>4940</v>
      </c>
      <c r="B4941" s="2">
        <v>373.73014221780767</v>
      </c>
    </row>
    <row r="4942" spans="1:2">
      <c r="A4942">
        <v>4941</v>
      </c>
      <c r="B4942" s="2">
        <v>437.73932567766974</v>
      </c>
    </row>
    <row r="4943" spans="1:2">
      <c r="A4943">
        <v>4942</v>
      </c>
      <c r="B4943" s="2">
        <v>390.74796330058894</v>
      </c>
    </row>
    <row r="4944" spans="1:2">
      <c r="A4944">
        <v>4943</v>
      </c>
      <c r="B4944" s="2">
        <v>465.72052959397325</v>
      </c>
    </row>
    <row r="4945" spans="1:2">
      <c r="A4945">
        <v>4944</v>
      </c>
      <c r="B4945" s="2">
        <v>455.3683992635701</v>
      </c>
    </row>
    <row r="4946" spans="1:2">
      <c r="A4946">
        <v>4945</v>
      </c>
      <c r="B4946" s="2">
        <v>398.44542993152498</v>
      </c>
    </row>
    <row r="4947" spans="1:2">
      <c r="A4947">
        <v>4946</v>
      </c>
      <c r="B4947" s="2">
        <v>433.98815802087256</v>
      </c>
    </row>
    <row r="4948" spans="1:2">
      <c r="A4948">
        <v>4947</v>
      </c>
      <c r="B4948" s="2">
        <v>450.06829141007103</v>
      </c>
    </row>
    <row r="4949" spans="1:2">
      <c r="A4949">
        <v>4948</v>
      </c>
      <c r="B4949" s="2">
        <v>192.37902939375203</v>
      </c>
    </row>
    <row r="4950" spans="1:2">
      <c r="A4950">
        <v>4949</v>
      </c>
      <c r="B4950" s="2">
        <v>360.5037258040237</v>
      </c>
    </row>
    <row r="4951" spans="1:2">
      <c r="A4951">
        <v>4950</v>
      </c>
      <c r="B4951" s="2">
        <v>338.67821574205379</v>
      </c>
    </row>
    <row r="4952" spans="1:2">
      <c r="A4952">
        <v>4951</v>
      </c>
      <c r="B4952" s="2">
        <v>482.28894339598583</v>
      </c>
    </row>
    <row r="4953" spans="1:2">
      <c r="A4953">
        <v>4952</v>
      </c>
      <c r="B4953" s="2">
        <v>311.52655466612151</v>
      </c>
    </row>
    <row r="4954" spans="1:2">
      <c r="A4954">
        <v>4953</v>
      </c>
      <c r="B4954" s="2">
        <v>244.32040402544271</v>
      </c>
    </row>
    <row r="4955" spans="1:2">
      <c r="A4955">
        <v>4954</v>
      </c>
      <c r="B4955" s="2">
        <v>499.44615462185254</v>
      </c>
    </row>
    <row r="4956" spans="1:2">
      <c r="A4956">
        <v>4955</v>
      </c>
      <c r="B4956" s="2">
        <v>483.1185248563462</v>
      </c>
    </row>
    <row r="4957" spans="1:2">
      <c r="A4957">
        <v>4956</v>
      </c>
      <c r="B4957" s="2">
        <v>405.19171174985377</v>
      </c>
    </row>
    <row r="4958" spans="1:2">
      <c r="A4958">
        <v>4957</v>
      </c>
      <c r="B4958" s="2">
        <v>459.12915692638484</v>
      </c>
    </row>
    <row r="4959" spans="1:2">
      <c r="A4959">
        <v>4958</v>
      </c>
      <c r="B4959" s="2">
        <v>270.18233019168269</v>
      </c>
    </row>
    <row r="4960" spans="1:2">
      <c r="A4960">
        <v>4959</v>
      </c>
      <c r="B4960" s="2">
        <v>264.2179098849752</v>
      </c>
    </row>
    <row r="4961" spans="1:2">
      <c r="A4961">
        <v>4960</v>
      </c>
      <c r="B4961" s="2">
        <v>402.04724108768914</v>
      </c>
    </row>
    <row r="4962" spans="1:2">
      <c r="A4962">
        <v>4961</v>
      </c>
      <c r="B4962" s="2">
        <v>394.59873858045137</v>
      </c>
    </row>
    <row r="4963" spans="1:2">
      <c r="A4963">
        <v>4962</v>
      </c>
      <c r="B4963" s="2">
        <v>257.75702651958488</v>
      </c>
    </row>
    <row r="4964" spans="1:2">
      <c r="A4964">
        <v>4963</v>
      </c>
      <c r="B4964" s="2">
        <v>337.62668247778066</v>
      </c>
    </row>
    <row r="4965" spans="1:2">
      <c r="A4965">
        <v>4964</v>
      </c>
      <c r="B4965" s="2">
        <v>369.33761840093393</v>
      </c>
    </row>
    <row r="4966" spans="1:2">
      <c r="A4966">
        <v>4965</v>
      </c>
      <c r="B4966" s="2">
        <v>260.62220782022996</v>
      </c>
    </row>
    <row r="4967" spans="1:2">
      <c r="A4967">
        <v>4966</v>
      </c>
      <c r="B4967" s="2">
        <v>386.06241246951049</v>
      </c>
    </row>
    <row r="4968" spans="1:2">
      <c r="A4968">
        <v>4967</v>
      </c>
      <c r="B4968" s="2">
        <v>346.24327585614873</v>
      </c>
    </row>
    <row r="4969" spans="1:2">
      <c r="A4969">
        <v>4968</v>
      </c>
      <c r="B4969" s="2">
        <v>309.5273593435362</v>
      </c>
    </row>
    <row r="4970" spans="1:2">
      <c r="A4970">
        <v>4969</v>
      </c>
      <c r="B4970" s="2">
        <v>429.36646266132516</v>
      </c>
    </row>
    <row r="4971" spans="1:2">
      <c r="A4971">
        <v>4970</v>
      </c>
      <c r="B4971" s="2">
        <v>352.93550140605902</v>
      </c>
    </row>
    <row r="4972" spans="1:2">
      <c r="A4972">
        <v>4971</v>
      </c>
      <c r="B4972" s="2">
        <v>367.47210609656605</v>
      </c>
    </row>
    <row r="4973" spans="1:2">
      <c r="A4973">
        <v>4972</v>
      </c>
      <c r="B4973" s="2">
        <v>262.16017373795768</v>
      </c>
    </row>
    <row r="4974" spans="1:2">
      <c r="A4974">
        <v>4973</v>
      </c>
      <c r="B4974" s="2">
        <v>289.52410187507132</v>
      </c>
    </row>
    <row r="4975" spans="1:2">
      <c r="A4975">
        <v>4974</v>
      </c>
      <c r="B4975" s="2">
        <v>476.34718024084214</v>
      </c>
    </row>
    <row r="4976" spans="1:2">
      <c r="A4976">
        <v>4975</v>
      </c>
      <c r="B4976" s="2">
        <v>414.49547076799951</v>
      </c>
    </row>
    <row r="4977" spans="1:2">
      <c r="A4977">
        <v>4976</v>
      </c>
      <c r="B4977" s="2">
        <v>336.51307274950767</v>
      </c>
    </row>
    <row r="4978" spans="1:2">
      <c r="A4978">
        <v>4977</v>
      </c>
      <c r="B4978" s="2">
        <v>389.55187206313212</v>
      </c>
    </row>
    <row r="4979" spans="1:2">
      <c r="A4979">
        <v>4978</v>
      </c>
      <c r="B4979" s="2">
        <v>273.8534972214789</v>
      </c>
    </row>
    <row r="4980" spans="1:2">
      <c r="A4980">
        <v>4979</v>
      </c>
      <c r="B4980" s="2">
        <v>330.87527827914772</v>
      </c>
    </row>
    <row r="4981" spans="1:2">
      <c r="A4981">
        <v>4980</v>
      </c>
      <c r="B4981" s="2">
        <v>260.4426037534862</v>
      </c>
    </row>
    <row r="4982" spans="1:2">
      <c r="A4982">
        <v>4981</v>
      </c>
      <c r="B4982" s="2">
        <v>184.09135116562481</v>
      </c>
    </row>
    <row r="4983" spans="1:2">
      <c r="A4983">
        <v>4982</v>
      </c>
      <c r="B4983" s="2">
        <v>330.18801586923161</v>
      </c>
    </row>
    <row r="4984" spans="1:2">
      <c r="A4984">
        <v>4983</v>
      </c>
      <c r="B4984" s="2">
        <v>313.92268616155559</v>
      </c>
    </row>
    <row r="4985" spans="1:2">
      <c r="A4985">
        <v>4984</v>
      </c>
      <c r="B4985" s="2">
        <v>203.01311099529784</v>
      </c>
    </row>
    <row r="4986" spans="1:2">
      <c r="A4986">
        <v>4985</v>
      </c>
      <c r="B4986" s="2">
        <v>380.20671228356912</v>
      </c>
    </row>
    <row r="4987" spans="1:2">
      <c r="A4987">
        <v>4986</v>
      </c>
      <c r="B4987" s="2">
        <v>355.03527694989992</v>
      </c>
    </row>
    <row r="4988" spans="1:2">
      <c r="A4988">
        <v>4987</v>
      </c>
      <c r="B4988" s="2">
        <v>347.96256715289286</v>
      </c>
    </row>
    <row r="4989" spans="1:2">
      <c r="A4989">
        <v>4988</v>
      </c>
      <c r="B4989" s="2">
        <v>336.58361731966784</v>
      </c>
    </row>
    <row r="4990" spans="1:2">
      <c r="A4990">
        <v>4989</v>
      </c>
      <c r="B4990" s="2">
        <v>367.0982574252306</v>
      </c>
    </row>
    <row r="4991" spans="1:2">
      <c r="A4991">
        <v>4990</v>
      </c>
      <c r="B4991" s="2">
        <v>258.02297769283973</v>
      </c>
    </row>
    <row r="4992" spans="1:2">
      <c r="A4992">
        <v>4991</v>
      </c>
      <c r="B4992" s="2">
        <v>298.22130647128819</v>
      </c>
    </row>
    <row r="4993" spans="1:2">
      <c r="A4993">
        <v>4992</v>
      </c>
      <c r="B4993" s="2">
        <v>312.62423392102136</v>
      </c>
    </row>
    <row r="4994" spans="1:2">
      <c r="A4994">
        <v>4993</v>
      </c>
      <c r="B4994" s="2">
        <v>274.40541242749413</v>
      </c>
    </row>
    <row r="4995" spans="1:2">
      <c r="A4995">
        <v>4994</v>
      </c>
      <c r="B4995" s="2">
        <v>337.56046036269601</v>
      </c>
    </row>
    <row r="4996" spans="1:2">
      <c r="A4996">
        <v>4995</v>
      </c>
      <c r="B4996" s="2">
        <v>322.34796707590226</v>
      </c>
    </row>
    <row r="4997" spans="1:2">
      <c r="A4997">
        <v>4996</v>
      </c>
      <c r="B4997" s="2">
        <v>247.76262507459285</v>
      </c>
    </row>
    <row r="4998" spans="1:2">
      <c r="A4998">
        <v>4997</v>
      </c>
      <c r="B4998" s="2">
        <v>382.70077235848919</v>
      </c>
    </row>
    <row r="4999" spans="1:2">
      <c r="A4999">
        <v>4998</v>
      </c>
      <c r="B4999" s="2">
        <v>358.74497607528679</v>
      </c>
    </row>
    <row r="5000" spans="1:2">
      <c r="A5000">
        <v>4999</v>
      </c>
      <c r="B5000" s="2">
        <v>300.49087009573441</v>
      </c>
    </row>
    <row r="5001" spans="1:2">
      <c r="A5001">
        <v>5000</v>
      </c>
      <c r="B5001" s="2">
        <v>386.15840225392105</v>
      </c>
    </row>
  </sheetData>
  <pageMargins left="0.7" right="0.7" top="0.75" bottom="0.75" header="0.3" footer="0.3"/>
  <pageSetup orientation="portrait" verticalDpi="300" r:id="rId1"/>
  <headerFooter>
    <oddHeader>&amp;L&amp;"Arial,Bold"SimVoi 313 Student Version&amp;R&amp;"Arial,Bold"Only For Students And Instructors</oddHeader>
    <oddFooter>&amp;L&amp;"Arial,Bold"Not For Commercial Use&amp;R&amp;"Arial,Bold"SimVoi.com</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C316D-59A9-4BF5-9840-19383FA14802}">
  <dimension ref="C4:F20"/>
  <sheetViews>
    <sheetView workbookViewId="0">
      <selection activeCell="E13" sqref="E13"/>
    </sheetView>
  </sheetViews>
  <sheetFormatPr defaultRowHeight="14.5"/>
  <cols>
    <col min="3" max="3" width="10.453125" customWidth="1"/>
    <col min="4" max="4" width="10.1796875" customWidth="1"/>
  </cols>
  <sheetData>
    <row r="4" spans="3:6">
      <c r="F4" t="s">
        <v>49</v>
      </c>
    </row>
    <row r="9" spans="3:6" ht="29">
      <c r="C9" s="16" t="s">
        <v>52</v>
      </c>
      <c r="D9" s="16" t="s">
        <v>53</v>
      </c>
      <c r="F9" t="s">
        <v>49</v>
      </c>
    </row>
    <row r="10" spans="3:6">
      <c r="C10">
        <v>275</v>
      </c>
      <c r="D10" s="12">
        <v>14377.028612373939</v>
      </c>
    </row>
    <row r="11" spans="3:6">
      <c r="C11">
        <v>300</v>
      </c>
      <c r="D11">
        <v>14944.0058058624</v>
      </c>
    </row>
    <row r="12" spans="3:6">
      <c r="C12">
        <v>325</v>
      </c>
      <c r="D12" s="12">
        <v>15374.330949309386</v>
      </c>
    </row>
    <row r="13" spans="3:6">
      <c r="C13">
        <v>350</v>
      </c>
      <c r="D13" s="12">
        <v>15669.80227946778</v>
      </c>
    </row>
    <row r="14" spans="3:6">
      <c r="C14">
        <v>375</v>
      </c>
      <c r="D14" s="12">
        <v>15760.596831376737</v>
      </c>
    </row>
    <row r="15" spans="3:6">
      <c r="C15" s="19">
        <v>400</v>
      </c>
      <c r="D15" s="25">
        <v>15825.542789241739</v>
      </c>
      <c r="E15" s="12" t="s">
        <v>49</v>
      </c>
    </row>
    <row r="16" spans="3:6">
      <c r="C16">
        <v>425</v>
      </c>
      <c r="D16" s="12">
        <v>15784.900981787699</v>
      </c>
    </row>
    <row r="17" spans="3:4">
      <c r="C17">
        <v>450</v>
      </c>
      <c r="D17" s="12">
        <v>15722.274471223605</v>
      </c>
    </row>
    <row r="18" spans="3:4">
      <c r="C18">
        <v>475</v>
      </c>
      <c r="D18" s="12">
        <v>15637.748241301009</v>
      </c>
    </row>
    <row r="19" spans="3:4">
      <c r="C19">
        <v>500</v>
      </c>
      <c r="D19" s="12">
        <v>15533.297398464296</v>
      </c>
    </row>
    <row r="20" spans="3:4">
      <c r="D20" s="12" t="s">
        <v>49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EEF8F-266D-4982-80FB-671BE2182556}">
  <sheetPr>
    <pageSetUpPr fitToPage="1"/>
  </sheetPr>
  <dimension ref="A1:I49"/>
  <sheetViews>
    <sheetView workbookViewId="0">
      <selection activeCell="B4" sqref="B4"/>
    </sheetView>
  </sheetViews>
  <sheetFormatPr defaultRowHeight="14.5"/>
  <cols>
    <col min="1" max="1" width="15.36328125" bestFit="1" customWidth="1"/>
    <col min="2" max="2" width="11.81640625" bestFit="1" customWidth="1"/>
    <col min="5" max="5" width="10.453125" bestFit="1" customWidth="1"/>
    <col min="6" max="6" width="15.6328125" bestFit="1" customWidth="1"/>
    <col min="7" max="7" width="25.6328125" customWidth="1"/>
    <col min="8" max="8" width="13" bestFit="1" customWidth="1"/>
    <col min="9" max="9" width="11.81640625" bestFit="1" customWidth="1"/>
  </cols>
  <sheetData>
    <row r="1" spans="1:9">
      <c r="A1" s="5" t="s">
        <v>31</v>
      </c>
      <c r="E1" s="5" t="s">
        <v>42</v>
      </c>
      <c r="H1" t="s">
        <v>32</v>
      </c>
      <c r="I1" s="2">
        <v>14377.028612373939</v>
      </c>
    </row>
    <row r="2" spans="1:9">
      <c r="A2" s="5" t="s">
        <v>15</v>
      </c>
      <c r="E2" t="s">
        <v>16</v>
      </c>
      <c r="F2" s="7">
        <v>45777</v>
      </c>
      <c r="H2" t="s">
        <v>33</v>
      </c>
      <c r="I2" s="2">
        <v>2685.1063757629181</v>
      </c>
    </row>
    <row r="3" spans="1:9">
      <c r="B3" s="3" t="s">
        <v>2</v>
      </c>
      <c r="E3" t="s">
        <v>17</v>
      </c>
      <c r="F3" s="8">
        <v>0.73998842592592595</v>
      </c>
      <c r="H3" t="s">
        <v>34</v>
      </c>
      <c r="I3" s="2">
        <v>37.973138530183867</v>
      </c>
    </row>
    <row r="4" spans="1:9">
      <c r="A4" t="s">
        <v>32</v>
      </c>
      <c r="B4" s="12">
        <v>14377.028612373939</v>
      </c>
      <c r="E4" t="s">
        <v>43</v>
      </c>
      <c r="F4" s="6">
        <v>5000</v>
      </c>
      <c r="H4" t="s">
        <v>35</v>
      </c>
      <c r="I4" s="11">
        <v>-1.5751234661086488</v>
      </c>
    </row>
    <row r="5" spans="1:9">
      <c r="A5" t="s">
        <v>33</v>
      </c>
      <c r="B5" s="12">
        <v>2685.1063757629181</v>
      </c>
      <c r="E5" t="s">
        <v>21</v>
      </c>
      <c r="F5" s="6">
        <v>1757035609</v>
      </c>
      <c r="I5" s="2"/>
    </row>
    <row r="6" spans="1:9">
      <c r="A6" t="s">
        <v>34</v>
      </c>
      <c r="B6" s="12">
        <v>37.973138530183867</v>
      </c>
      <c r="E6" t="s">
        <v>19</v>
      </c>
      <c r="F6" s="6" t="s">
        <v>56</v>
      </c>
      <c r="H6" t="s">
        <v>36</v>
      </c>
      <c r="I6" s="2">
        <v>377.53512702996886</v>
      </c>
    </row>
    <row r="7" spans="1:9">
      <c r="A7" t="s">
        <v>35</v>
      </c>
      <c r="B7" s="13">
        <v>-1.5751234661086488</v>
      </c>
      <c r="E7" s="5" t="s">
        <v>15</v>
      </c>
      <c r="F7" s="6"/>
      <c r="H7" t="s">
        <v>37</v>
      </c>
      <c r="I7" s="2">
        <v>13184.378983923656</v>
      </c>
    </row>
    <row r="8" spans="1:9">
      <c r="A8" s="5" t="s">
        <v>18</v>
      </c>
      <c r="B8" s="12"/>
      <c r="E8" t="s">
        <v>44</v>
      </c>
      <c r="F8" s="6" t="s">
        <v>57</v>
      </c>
      <c r="H8" t="s">
        <v>38</v>
      </c>
      <c r="I8" s="2">
        <v>15355.594542429804</v>
      </c>
    </row>
    <row r="9" spans="1:9">
      <c r="A9" t="s">
        <v>36</v>
      </c>
      <c r="B9" s="12">
        <v>377.53512702996886</v>
      </c>
      <c r="E9" t="s">
        <v>45</v>
      </c>
      <c r="F9" s="6" t="s">
        <v>25</v>
      </c>
      <c r="H9" t="s">
        <v>39</v>
      </c>
      <c r="I9" s="2">
        <v>16500</v>
      </c>
    </row>
    <row r="10" spans="1:9">
      <c r="A10" t="s">
        <v>37</v>
      </c>
      <c r="B10" s="12">
        <v>13184.378983923656</v>
      </c>
      <c r="E10" t="s">
        <v>46</v>
      </c>
      <c r="F10" s="6" t="s">
        <v>2</v>
      </c>
      <c r="H10" t="s">
        <v>40</v>
      </c>
      <c r="I10" s="2">
        <v>16500</v>
      </c>
    </row>
    <row r="11" spans="1:9">
      <c r="A11" t="s">
        <v>38</v>
      </c>
      <c r="B11" s="12">
        <v>15355.594542429804</v>
      </c>
      <c r="E11" s="5" t="s">
        <v>18</v>
      </c>
    </row>
    <row r="12" spans="1:9">
      <c r="A12" t="s">
        <v>39</v>
      </c>
      <c r="B12" s="12">
        <v>16500</v>
      </c>
    </row>
    <row r="13" spans="1:9">
      <c r="A13" t="s">
        <v>40</v>
      </c>
      <c r="B13" s="12">
        <v>16500</v>
      </c>
    </row>
    <row r="14" spans="1:9">
      <c r="B14" s="12"/>
    </row>
    <row r="15" spans="1:9">
      <c r="B15" s="12"/>
    </row>
    <row r="16" spans="1:9">
      <c r="A16" t="s">
        <v>41</v>
      </c>
      <c r="B16" s="12"/>
    </row>
    <row r="17" spans="1:6">
      <c r="B17" s="12" t="s">
        <v>2</v>
      </c>
    </row>
    <row r="18" spans="1:6">
      <c r="A18" s="10">
        <v>0</v>
      </c>
      <c r="B18" s="12">
        <v>377.53512702996886</v>
      </c>
    </row>
    <row r="19" spans="1:6">
      <c r="A19" s="10">
        <v>5.0000000000000001E-3</v>
      </c>
      <c r="B19" s="12">
        <v>4290.4239869993025</v>
      </c>
    </row>
    <row r="20" spans="1:6">
      <c r="A20" s="10">
        <v>0.01</v>
      </c>
      <c r="B20" s="12">
        <v>5320.8286847786358</v>
      </c>
    </row>
    <row r="21" spans="1:6">
      <c r="A21" s="10">
        <v>2.5000000000000001E-2</v>
      </c>
      <c r="B21" s="12">
        <v>7029.0001362092125</v>
      </c>
    </row>
    <row r="22" spans="1:6">
      <c r="A22" s="10">
        <v>0.05</v>
      </c>
      <c r="B22" s="12">
        <v>8794.4855871327291</v>
      </c>
    </row>
    <row r="23" spans="1:6">
      <c r="A23" s="10">
        <v>0.1</v>
      </c>
      <c r="B23" s="12">
        <v>10548.596523827213</v>
      </c>
    </row>
    <row r="24" spans="1:6">
      <c r="A24" s="10">
        <v>0.15</v>
      </c>
      <c r="B24" s="12">
        <v>11653.622540516024</v>
      </c>
    </row>
    <row r="25" spans="1:6">
      <c r="A25" s="10">
        <v>0.2</v>
      </c>
      <c r="B25" s="12">
        <v>12524.710344156085</v>
      </c>
    </row>
    <row r="26" spans="1:6">
      <c r="A26" s="10">
        <v>0.25</v>
      </c>
      <c r="B26" s="12">
        <v>13184.378983923656</v>
      </c>
    </row>
    <row r="27" spans="1:6">
      <c r="A27" s="10">
        <v>0.3</v>
      </c>
      <c r="B27" s="12">
        <v>13650.27580771688</v>
      </c>
    </row>
    <row r="28" spans="1:6">
      <c r="A28" s="10">
        <v>0.35</v>
      </c>
      <c r="B28" s="12">
        <v>14110.134275779621</v>
      </c>
    </row>
    <row r="29" spans="1:6">
      <c r="A29" s="10">
        <v>0.4</v>
      </c>
      <c r="B29" s="12">
        <v>14549.821771035835</v>
      </c>
    </row>
    <row r="30" spans="1:6">
      <c r="A30" s="10">
        <v>0.45</v>
      </c>
      <c r="B30" s="12">
        <v>14985.978397609451</v>
      </c>
      <c r="E30" s="3" t="s">
        <v>47</v>
      </c>
      <c r="F30" s="3" t="s">
        <v>48</v>
      </c>
    </row>
    <row r="31" spans="1:6">
      <c r="A31" s="10">
        <v>0.5</v>
      </c>
      <c r="B31" s="12">
        <v>15355.594542429804</v>
      </c>
      <c r="E31" s="2">
        <v>0</v>
      </c>
      <c r="F31">
        <v>0</v>
      </c>
    </row>
    <row r="32" spans="1:6">
      <c r="A32" s="10">
        <v>0.55000000000000004</v>
      </c>
      <c r="B32" s="12">
        <v>15784.228100995027</v>
      </c>
      <c r="E32" s="2">
        <v>1000</v>
      </c>
      <c r="F32">
        <v>3</v>
      </c>
    </row>
    <row r="33" spans="1:6">
      <c r="A33" s="10">
        <v>0.6</v>
      </c>
      <c r="B33" s="12">
        <v>16200.76837973763</v>
      </c>
      <c r="E33" s="2">
        <v>2000</v>
      </c>
      <c r="F33">
        <v>2</v>
      </c>
    </row>
    <row r="34" spans="1:6">
      <c r="A34" s="10">
        <v>0.65</v>
      </c>
      <c r="B34" s="12">
        <v>16500</v>
      </c>
      <c r="E34" s="2">
        <v>3000</v>
      </c>
      <c r="F34">
        <v>7</v>
      </c>
    </row>
    <row r="35" spans="1:6">
      <c r="A35" s="10">
        <v>0.7</v>
      </c>
      <c r="B35" s="12">
        <v>16500</v>
      </c>
      <c r="E35" s="2">
        <v>4000</v>
      </c>
      <c r="F35">
        <v>11</v>
      </c>
    </row>
    <row r="36" spans="1:6">
      <c r="A36" s="10">
        <v>0.75</v>
      </c>
      <c r="B36" s="12">
        <v>16500</v>
      </c>
      <c r="E36" s="2">
        <v>5000</v>
      </c>
      <c r="F36">
        <v>17</v>
      </c>
    </row>
    <row r="37" spans="1:6">
      <c r="A37" s="10">
        <v>0.8</v>
      </c>
      <c r="B37" s="12">
        <v>16500</v>
      </c>
      <c r="E37" s="2">
        <v>6000</v>
      </c>
      <c r="F37">
        <v>28</v>
      </c>
    </row>
    <row r="38" spans="1:6">
      <c r="A38" s="10">
        <v>0.85</v>
      </c>
      <c r="B38" s="12">
        <v>16500</v>
      </c>
      <c r="E38" s="2">
        <v>7000</v>
      </c>
      <c r="F38">
        <v>54</v>
      </c>
    </row>
    <row r="39" spans="1:6">
      <c r="A39" s="10">
        <v>0.9</v>
      </c>
      <c r="B39" s="12">
        <v>16500</v>
      </c>
      <c r="E39" s="2">
        <v>8000</v>
      </c>
      <c r="F39">
        <v>54</v>
      </c>
    </row>
    <row r="40" spans="1:6">
      <c r="A40" s="10">
        <v>0.95</v>
      </c>
      <c r="B40" s="12">
        <v>16500</v>
      </c>
      <c r="E40" s="2">
        <v>9000</v>
      </c>
      <c r="F40">
        <v>103</v>
      </c>
    </row>
    <row r="41" spans="1:6">
      <c r="A41" s="10">
        <v>0.97499999999999998</v>
      </c>
      <c r="B41" s="12">
        <v>16500</v>
      </c>
      <c r="E41" s="2">
        <v>10000</v>
      </c>
      <c r="F41">
        <v>126</v>
      </c>
    </row>
    <row r="42" spans="1:6">
      <c r="A42" s="10">
        <v>0.99</v>
      </c>
      <c r="B42" s="12">
        <v>16500</v>
      </c>
      <c r="E42" s="2">
        <v>11000</v>
      </c>
      <c r="F42">
        <v>191</v>
      </c>
    </row>
    <row r="43" spans="1:6">
      <c r="A43" s="10">
        <v>0.995</v>
      </c>
      <c r="B43" s="12">
        <v>16500</v>
      </c>
      <c r="E43" s="2">
        <v>12000</v>
      </c>
      <c r="F43">
        <v>253</v>
      </c>
    </row>
    <row r="44" spans="1:6">
      <c r="A44" s="10">
        <v>1</v>
      </c>
      <c r="B44" s="12">
        <v>16500</v>
      </c>
      <c r="E44" s="2">
        <v>13000</v>
      </c>
      <c r="F44">
        <v>327</v>
      </c>
    </row>
    <row r="45" spans="1:6">
      <c r="E45" s="2">
        <v>14000</v>
      </c>
      <c r="F45">
        <v>520</v>
      </c>
    </row>
    <row r="46" spans="1:6">
      <c r="E46" s="2">
        <v>15000</v>
      </c>
      <c r="F46">
        <v>563</v>
      </c>
    </row>
    <row r="47" spans="1:6">
      <c r="E47" s="2">
        <v>16000</v>
      </c>
      <c r="F47">
        <v>613</v>
      </c>
    </row>
    <row r="48" spans="1:6">
      <c r="E48" s="2">
        <v>17000</v>
      </c>
      <c r="F48">
        <v>2128</v>
      </c>
    </row>
    <row r="49" spans="5:6">
      <c r="E49" s="2">
        <v>18000</v>
      </c>
      <c r="F49">
        <v>0</v>
      </c>
    </row>
  </sheetData>
  <pageMargins left="0.7" right="0.7" top="0.75" bottom="0.75" header="0.3" footer="0.3"/>
  <pageSetup orientation="portrait" verticalDpi="300" r:id="rId1"/>
  <headerFooter>
    <oddHeader>&amp;L&amp;"Arial,Bold"SimVoi 313 Student Version&amp;R&amp;"Arial,Bold"Only For Students And Instructors</oddHeader>
    <oddFooter>&amp;L&amp;"Arial,Bold"Not For Commercial Use&amp;R&amp;"Arial,Bold"SimVoi.com</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552F-FD5B-4748-8C1C-D4290CA763E4}">
  <sheetPr>
    <pageSetUpPr fitToPage="1"/>
  </sheetPr>
  <dimension ref="A1:I53"/>
  <sheetViews>
    <sheetView workbookViewId="0">
      <selection activeCell="B4" sqref="B4"/>
    </sheetView>
  </sheetViews>
  <sheetFormatPr defaultRowHeight="14.5"/>
  <cols>
    <col min="1" max="1" width="15.36328125" bestFit="1" customWidth="1"/>
    <col min="2" max="2" width="12.453125" bestFit="1" customWidth="1"/>
    <col min="5" max="5" width="10.453125" bestFit="1" customWidth="1"/>
    <col min="6" max="6" width="15.6328125" bestFit="1" customWidth="1"/>
    <col min="7" max="7" width="25.6328125" customWidth="1"/>
    <col min="8" max="8" width="13" bestFit="1" customWidth="1"/>
    <col min="9" max="9" width="12.453125" bestFit="1" customWidth="1"/>
  </cols>
  <sheetData>
    <row r="1" spans="1:9">
      <c r="A1" s="5" t="s">
        <v>31</v>
      </c>
      <c r="E1" s="5" t="s">
        <v>42</v>
      </c>
      <c r="H1" t="s">
        <v>32</v>
      </c>
      <c r="I1" s="2">
        <v>14944.005805862353</v>
      </c>
    </row>
    <row r="2" spans="1:9">
      <c r="A2" s="5" t="s">
        <v>15</v>
      </c>
      <c r="E2" t="s">
        <v>16</v>
      </c>
      <c r="F2" s="7">
        <v>45777</v>
      </c>
      <c r="H2" t="s">
        <v>33</v>
      </c>
      <c r="I2" s="2">
        <v>3158.4718476292974</v>
      </c>
    </row>
    <row r="3" spans="1:9">
      <c r="B3" s="3" t="s">
        <v>2</v>
      </c>
      <c r="E3" t="s">
        <v>17</v>
      </c>
      <c r="F3" s="8">
        <v>0.74396990740740743</v>
      </c>
      <c r="H3" t="s">
        <v>34</v>
      </c>
      <c r="I3" s="2">
        <v>44.667537232909602</v>
      </c>
    </row>
    <row r="4" spans="1:9">
      <c r="A4" t="s">
        <v>32</v>
      </c>
      <c r="B4" s="12">
        <v>14944.0058058624</v>
      </c>
      <c r="E4" t="s">
        <v>43</v>
      </c>
      <c r="F4" s="6">
        <v>5000</v>
      </c>
      <c r="H4" t="s">
        <v>35</v>
      </c>
      <c r="I4" s="11">
        <v>-1.1743438365342234</v>
      </c>
    </row>
    <row r="5" spans="1:9">
      <c r="A5" t="s">
        <v>33</v>
      </c>
      <c r="B5" s="12">
        <v>3158.4718476292974</v>
      </c>
      <c r="E5" t="s">
        <v>21</v>
      </c>
      <c r="F5" s="6">
        <v>475411034</v>
      </c>
      <c r="I5" s="2"/>
    </row>
    <row r="6" spans="1:9">
      <c r="A6" t="s">
        <v>34</v>
      </c>
      <c r="B6" s="12">
        <v>44.667537232909602</v>
      </c>
      <c r="E6" t="s">
        <v>19</v>
      </c>
      <c r="F6" s="6" t="s">
        <v>56</v>
      </c>
      <c r="H6" t="s">
        <v>36</v>
      </c>
      <c r="I6" s="2">
        <v>-712.37112781409087</v>
      </c>
    </row>
    <row r="7" spans="1:9">
      <c r="A7" t="s">
        <v>35</v>
      </c>
      <c r="B7" s="13">
        <v>-1.1743438365342234</v>
      </c>
      <c r="E7" s="5" t="s">
        <v>15</v>
      </c>
      <c r="F7" s="6"/>
      <c r="H7" t="s">
        <v>37</v>
      </c>
      <c r="I7" s="2">
        <v>13176.188899211051</v>
      </c>
    </row>
    <row r="8" spans="1:9">
      <c r="A8" s="5" t="s">
        <v>18</v>
      </c>
      <c r="B8" s="12"/>
      <c r="E8" t="s">
        <v>44</v>
      </c>
      <c r="F8" s="6" t="s">
        <v>57</v>
      </c>
      <c r="H8" t="s">
        <v>38</v>
      </c>
      <c r="I8" s="2">
        <v>15689.439476159152</v>
      </c>
    </row>
    <row r="9" spans="1:9">
      <c r="A9" t="s">
        <v>36</v>
      </c>
      <c r="B9" s="12">
        <v>-712.37112781409087</v>
      </c>
      <c r="E9" t="s">
        <v>45</v>
      </c>
      <c r="F9" s="6" t="s">
        <v>25</v>
      </c>
      <c r="H9" t="s">
        <v>39</v>
      </c>
      <c r="I9" s="2">
        <v>17981.434056071739</v>
      </c>
    </row>
    <row r="10" spans="1:9">
      <c r="A10" t="s">
        <v>37</v>
      </c>
      <c r="B10" s="12">
        <v>13176.188899211051</v>
      </c>
      <c r="E10" t="s">
        <v>46</v>
      </c>
      <c r="F10" s="6" t="s">
        <v>2</v>
      </c>
      <c r="H10" t="s">
        <v>40</v>
      </c>
      <c r="I10" s="2">
        <v>18000</v>
      </c>
    </row>
    <row r="11" spans="1:9">
      <c r="A11" t="s">
        <v>38</v>
      </c>
      <c r="B11" s="12">
        <v>15689.439476159152</v>
      </c>
      <c r="E11" s="5" t="s">
        <v>18</v>
      </c>
    </row>
    <row r="12" spans="1:9">
      <c r="A12" t="s">
        <v>39</v>
      </c>
      <c r="B12" s="12">
        <v>17981.434056071739</v>
      </c>
    </row>
    <row r="13" spans="1:9">
      <c r="A13" t="s">
        <v>40</v>
      </c>
      <c r="B13" s="12">
        <v>18000</v>
      </c>
    </row>
    <row r="14" spans="1:9">
      <c r="B14" s="12"/>
    </row>
    <row r="15" spans="1:9">
      <c r="B15" s="12"/>
    </row>
    <row r="16" spans="1:9">
      <c r="A16" t="s">
        <v>41</v>
      </c>
      <c r="B16" s="12"/>
    </row>
    <row r="17" spans="1:6">
      <c r="B17" s="12" t="s">
        <v>2</v>
      </c>
    </row>
    <row r="18" spans="1:6">
      <c r="A18" s="10">
        <v>0</v>
      </c>
      <c r="B18" s="12">
        <v>-712.37112781409087</v>
      </c>
    </row>
    <row r="19" spans="1:6">
      <c r="A19" s="10">
        <v>5.0000000000000001E-3</v>
      </c>
      <c r="B19" s="12">
        <v>4301.9590924311715</v>
      </c>
    </row>
    <row r="20" spans="1:6">
      <c r="A20" s="10">
        <v>0.01</v>
      </c>
      <c r="B20" s="12">
        <v>5269.5010037013644</v>
      </c>
    </row>
    <row r="21" spans="1:6">
      <c r="A21" s="10">
        <v>2.5000000000000001E-2</v>
      </c>
      <c r="B21" s="12">
        <v>7073.3682396479344</v>
      </c>
    </row>
    <row r="22" spans="1:6">
      <c r="A22" s="10">
        <v>0.05</v>
      </c>
      <c r="B22" s="12">
        <v>8593.5972505807058</v>
      </c>
    </row>
    <row r="23" spans="1:6">
      <c r="A23" s="10">
        <v>0.1</v>
      </c>
      <c r="B23" s="12">
        <v>10386.844841134134</v>
      </c>
    </row>
    <row r="24" spans="1:6">
      <c r="A24" s="10">
        <v>0.15</v>
      </c>
      <c r="B24" s="12">
        <v>11594.985894555937</v>
      </c>
    </row>
    <row r="25" spans="1:6">
      <c r="A25" s="10">
        <v>0.2</v>
      </c>
      <c r="B25" s="12">
        <v>12478.49274789598</v>
      </c>
    </row>
    <row r="26" spans="1:6">
      <c r="A26" s="10">
        <v>0.25</v>
      </c>
      <c r="B26" s="12">
        <v>13176.188899211051</v>
      </c>
    </row>
    <row r="27" spans="1:6">
      <c r="A27" s="10">
        <v>0.3</v>
      </c>
      <c r="B27" s="12">
        <v>13798.017403299178</v>
      </c>
    </row>
    <row r="28" spans="1:6">
      <c r="A28" s="10">
        <v>0.35</v>
      </c>
      <c r="B28" s="12">
        <v>14389.702774956251</v>
      </c>
    </row>
    <row r="29" spans="1:6">
      <c r="A29" s="10">
        <v>0.4</v>
      </c>
      <c r="B29" s="12">
        <v>14829.376224218442</v>
      </c>
    </row>
    <row r="30" spans="1:6">
      <c r="A30" s="10">
        <v>0.45</v>
      </c>
      <c r="B30" s="12">
        <v>15242.716964506877</v>
      </c>
      <c r="E30" s="3" t="s">
        <v>47</v>
      </c>
      <c r="F30" s="3" t="s">
        <v>48</v>
      </c>
    </row>
    <row r="31" spans="1:6">
      <c r="A31" s="10">
        <v>0.5</v>
      </c>
      <c r="B31" s="12">
        <v>15689.439476159152</v>
      </c>
      <c r="E31" s="2">
        <v>-2000</v>
      </c>
      <c r="F31">
        <v>0</v>
      </c>
    </row>
    <row r="32" spans="1:6">
      <c r="A32" s="10">
        <v>0.55000000000000004</v>
      </c>
      <c r="B32" s="12">
        <v>16132.542674333965</v>
      </c>
      <c r="E32" s="2">
        <v>-1000</v>
      </c>
      <c r="F32">
        <v>0</v>
      </c>
    </row>
    <row r="33" spans="1:6">
      <c r="A33" s="10">
        <v>0.6</v>
      </c>
      <c r="B33" s="12">
        <v>16588.412173000332</v>
      </c>
      <c r="E33" s="2">
        <v>0</v>
      </c>
      <c r="F33">
        <v>2</v>
      </c>
    </row>
    <row r="34" spans="1:6">
      <c r="A34" s="10">
        <v>0.65</v>
      </c>
      <c r="B34" s="12">
        <v>16996.799959871798</v>
      </c>
      <c r="E34" s="2">
        <v>1000</v>
      </c>
      <c r="F34">
        <v>1</v>
      </c>
    </row>
    <row r="35" spans="1:6">
      <c r="A35" s="10">
        <v>0.7</v>
      </c>
      <c r="B35" s="12">
        <v>17487.68230479697</v>
      </c>
      <c r="E35" s="2">
        <v>2000</v>
      </c>
      <c r="F35">
        <v>6</v>
      </c>
    </row>
    <row r="36" spans="1:6">
      <c r="A36" s="10">
        <v>0.75</v>
      </c>
      <c r="B36" s="12">
        <v>17981.434056071739</v>
      </c>
      <c r="E36" s="2">
        <v>3000</v>
      </c>
      <c r="F36">
        <v>3</v>
      </c>
    </row>
    <row r="37" spans="1:6">
      <c r="A37" s="10">
        <v>0.8</v>
      </c>
      <c r="B37" s="12">
        <v>18000</v>
      </c>
      <c r="E37" s="2">
        <v>4000</v>
      </c>
      <c r="F37">
        <v>10</v>
      </c>
    </row>
    <row r="38" spans="1:6">
      <c r="A38" s="10">
        <v>0.85</v>
      </c>
      <c r="B38" s="12">
        <v>18000</v>
      </c>
      <c r="E38" s="2">
        <v>5000</v>
      </c>
      <c r="F38">
        <v>22</v>
      </c>
    </row>
    <row r="39" spans="1:6">
      <c r="A39" s="10">
        <v>0.9</v>
      </c>
      <c r="B39" s="12">
        <v>18000</v>
      </c>
      <c r="E39" s="2">
        <v>6000</v>
      </c>
      <c r="F39">
        <v>29</v>
      </c>
    </row>
    <row r="40" spans="1:6">
      <c r="A40" s="10">
        <v>0.95</v>
      </c>
      <c r="B40" s="12">
        <v>18000</v>
      </c>
      <c r="E40" s="2">
        <v>7000</v>
      </c>
      <c r="F40">
        <v>46</v>
      </c>
    </row>
    <row r="41" spans="1:6">
      <c r="A41" s="10">
        <v>0.97499999999999998</v>
      </c>
      <c r="B41" s="12">
        <v>18000</v>
      </c>
      <c r="E41" s="2">
        <v>8000</v>
      </c>
      <c r="F41">
        <v>74</v>
      </c>
    </row>
    <row r="42" spans="1:6">
      <c r="A42" s="10">
        <v>0.99</v>
      </c>
      <c r="B42" s="12">
        <v>18000</v>
      </c>
      <c r="E42" s="2">
        <v>9000</v>
      </c>
      <c r="F42">
        <v>95</v>
      </c>
    </row>
    <row r="43" spans="1:6">
      <c r="A43" s="10">
        <v>0.995</v>
      </c>
      <c r="B43" s="12">
        <v>18000</v>
      </c>
      <c r="E43" s="2">
        <v>10000</v>
      </c>
      <c r="F43">
        <v>132</v>
      </c>
    </row>
    <row r="44" spans="1:6">
      <c r="A44" s="10">
        <v>1</v>
      </c>
      <c r="B44" s="12">
        <v>18000</v>
      </c>
      <c r="E44" s="2">
        <v>11000</v>
      </c>
      <c r="F44">
        <v>197</v>
      </c>
    </row>
    <row r="45" spans="1:6">
      <c r="E45" s="2">
        <v>12000</v>
      </c>
      <c r="F45">
        <v>234</v>
      </c>
    </row>
    <row r="46" spans="1:6">
      <c r="E46" s="2">
        <v>13000</v>
      </c>
      <c r="F46">
        <v>335</v>
      </c>
    </row>
    <row r="47" spans="1:6">
      <c r="E47" s="2">
        <v>14000</v>
      </c>
      <c r="F47">
        <v>385</v>
      </c>
    </row>
    <row r="48" spans="1:6">
      <c r="E48" s="2">
        <v>15000</v>
      </c>
      <c r="F48">
        <v>532</v>
      </c>
    </row>
    <row r="49" spans="5:6">
      <c r="E49" s="2">
        <v>16000</v>
      </c>
      <c r="F49">
        <v>572</v>
      </c>
    </row>
    <row r="50" spans="5:6">
      <c r="E50" s="2">
        <v>17000</v>
      </c>
      <c r="F50">
        <v>575</v>
      </c>
    </row>
    <row r="51" spans="5:6">
      <c r="E51" s="2">
        <v>18000</v>
      </c>
      <c r="F51">
        <v>1750</v>
      </c>
    </row>
    <row r="52" spans="5:6">
      <c r="E52" s="2">
        <v>19000</v>
      </c>
      <c r="F52">
        <v>0</v>
      </c>
    </row>
    <row r="53" spans="5:6">
      <c r="E53" s="2">
        <v>20000</v>
      </c>
      <c r="F53">
        <v>0</v>
      </c>
    </row>
  </sheetData>
  <pageMargins left="0.7" right="0.7" top="0.75" bottom="0.75" header="0.3" footer="0.3"/>
  <pageSetup orientation="portrait" verticalDpi="300" r:id="rId1"/>
  <headerFooter>
    <oddHeader>&amp;L&amp;"Arial,Bold"SimVoi 313 Student Version&amp;R&amp;"Arial,Bold"Only For Students And Instructors</oddHeader>
    <oddFooter>&amp;L&amp;"Arial,Bold"Not For Commercial Use&amp;R&amp;"Arial,Bold"SimVoi.com</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F748C-8BC6-4D24-9088-A6BC693DDA57}">
  <sheetPr>
    <pageSetUpPr fitToPage="1"/>
  </sheetPr>
  <dimension ref="A1:I53"/>
  <sheetViews>
    <sheetView workbookViewId="0">
      <selection activeCell="B4" sqref="B4"/>
    </sheetView>
  </sheetViews>
  <sheetFormatPr defaultRowHeight="14.5"/>
  <cols>
    <col min="1" max="1" width="15.36328125" bestFit="1" customWidth="1"/>
    <col min="2" max="2" width="12.453125" bestFit="1" customWidth="1"/>
    <col min="5" max="5" width="10.453125" bestFit="1" customWidth="1"/>
    <col min="6" max="6" width="15.6328125" bestFit="1" customWidth="1"/>
    <col min="7" max="7" width="25.6328125" customWidth="1"/>
    <col min="8" max="8" width="13" bestFit="1" customWidth="1"/>
    <col min="9" max="9" width="12.453125" bestFit="1" customWidth="1"/>
  </cols>
  <sheetData>
    <row r="1" spans="1:9">
      <c r="A1" s="5" t="s">
        <v>31</v>
      </c>
      <c r="E1" s="5" t="s">
        <v>42</v>
      </c>
      <c r="H1" t="s">
        <v>32</v>
      </c>
      <c r="I1" s="2">
        <v>15374.330949309386</v>
      </c>
    </row>
    <row r="2" spans="1:9">
      <c r="A2" s="5" t="s">
        <v>15</v>
      </c>
      <c r="E2" t="s">
        <v>16</v>
      </c>
      <c r="F2" s="7">
        <v>45777</v>
      </c>
      <c r="H2" t="s">
        <v>33</v>
      </c>
      <c r="I2" s="2">
        <v>3647.6408705228937</v>
      </c>
    </row>
    <row r="3" spans="1:9">
      <c r="B3" s="3" t="s">
        <v>2</v>
      </c>
      <c r="E3" t="s">
        <v>17</v>
      </c>
      <c r="F3" s="8">
        <v>0.74516203703703698</v>
      </c>
      <c r="H3" t="s">
        <v>34</v>
      </c>
      <c r="I3" s="2">
        <v>51.585431897598788</v>
      </c>
    </row>
    <row r="4" spans="1:9">
      <c r="A4" t="s">
        <v>32</v>
      </c>
      <c r="B4" s="12">
        <v>15374.330949309386</v>
      </c>
      <c r="E4" t="s">
        <v>43</v>
      </c>
      <c r="F4" s="6">
        <v>5000</v>
      </c>
      <c r="H4" t="s">
        <v>35</v>
      </c>
      <c r="I4" s="11">
        <v>-0.9486863332031279</v>
      </c>
    </row>
    <row r="5" spans="1:9">
      <c r="A5" t="s">
        <v>33</v>
      </c>
      <c r="B5" s="12">
        <v>3647.6408705228937</v>
      </c>
      <c r="E5" t="s">
        <v>21</v>
      </c>
      <c r="F5" s="6">
        <v>1538787875</v>
      </c>
      <c r="I5" s="2"/>
    </row>
    <row r="6" spans="1:9">
      <c r="A6" t="s">
        <v>34</v>
      </c>
      <c r="B6" s="12">
        <v>51.585431897598788</v>
      </c>
      <c r="E6" t="s">
        <v>19</v>
      </c>
      <c r="F6" s="6" t="s">
        <v>56</v>
      </c>
      <c r="H6" t="s">
        <v>36</v>
      </c>
      <c r="I6" s="2">
        <v>-902.40811306576506</v>
      </c>
    </row>
    <row r="7" spans="1:9">
      <c r="A7" t="s">
        <v>35</v>
      </c>
      <c r="B7" s="13">
        <v>-0.9486863332031279</v>
      </c>
      <c r="E7" s="5" t="s">
        <v>15</v>
      </c>
      <c r="F7" s="6"/>
      <c r="H7" t="s">
        <v>37</v>
      </c>
      <c r="I7" s="2">
        <v>13218.964018359682</v>
      </c>
    </row>
    <row r="8" spans="1:9">
      <c r="A8" s="5" t="s">
        <v>18</v>
      </c>
      <c r="B8" s="12"/>
      <c r="E8" t="s">
        <v>44</v>
      </c>
      <c r="F8" s="6" t="s">
        <v>57</v>
      </c>
      <c r="H8" t="s">
        <v>38</v>
      </c>
      <c r="I8" s="2">
        <v>16023.14163058538</v>
      </c>
    </row>
    <row r="9" spans="1:9">
      <c r="A9" t="s">
        <v>36</v>
      </c>
      <c r="B9" s="12">
        <v>-902.40811306576506</v>
      </c>
      <c r="E9" t="s">
        <v>45</v>
      </c>
      <c r="F9" s="6" t="s">
        <v>25</v>
      </c>
      <c r="H9" t="s">
        <v>39</v>
      </c>
      <c r="I9" s="2">
        <v>18484.182435987306</v>
      </c>
    </row>
    <row r="10" spans="1:9">
      <c r="A10" t="s">
        <v>37</v>
      </c>
      <c r="B10" s="12">
        <v>13218.964018359682</v>
      </c>
      <c r="E10" t="s">
        <v>46</v>
      </c>
      <c r="F10" s="6" t="s">
        <v>2</v>
      </c>
      <c r="H10" t="s">
        <v>40</v>
      </c>
      <c r="I10" s="2">
        <v>19500</v>
      </c>
    </row>
    <row r="11" spans="1:9">
      <c r="A11" t="s">
        <v>38</v>
      </c>
      <c r="B11" s="12">
        <v>16023.14163058538</v>
      </c>
      <c r="E11" s="5" t="s">
        <v>18</v>
      </c>
    </row>
    <row r="12" spans="1:9">
      <c r="A12" t="s">
        <v>39</v>
      </c>
      <c r="B12" s="12">
        <v>18484.182435987306</v>
      </c>
    </row>
    <row r="13" spans="1:9">
      <c r="A13" t="s">
        <v>40</v>
      </c>
      <c r="B13" s="12">
        <v>19500</v>
      </c>
    </row>
    <row r="14" spans="1:9">
      <c r="B14" s="12"/>
    </row>
    <row r="15" spans="1:9">
      <c r="B15" s="12"/>
    </row>
    <row r="16" spans="1:9">
      <c r="A16" t="s">
        <v>41</v>
      </c>
      <c r="B16" s="12"/>
    </row>
    <row r="17" spans="1:6">
      <c r="B17" s="12" t="s">
        <v>2</v>
      </c>
    </row>
    <row r="18" spans="1:6">
      <c r="A18" s="10">
        <v>0</v>
      </c>
      <c r="B18" s="12">
        <v>-902.40811306576506</v>
      </c>
    </row>
    <row r="19" spans="1:6">
      <c r="A19" s="10">
        <v>5.0000000000000001E-3</v>
      </c>
      <c r="B19" s="12">
        <v>3446.959914556126</v>
      </c>
    </row>
    <row r="20" spans="1:6">
      <c r="A20" s="10">
        <v>0.01</v>
      </c>
      <c r="B20" s="12">
        <v>4607.7057367318948</v>
      </c>
    </row>
    <row r="21" spans="1:6">
      <c r="A21" s="10">
        <v>2.5000000000000001E-2</v>
      </c>
      <c r="B21" s="12">
        <v>6667.5651588114688</v>
      </c>
    </row>
    <row r="22" spans="1:6">
      <c r="A22" s="10">
        <v>0.05</v>
      </c>
      <c r="B22" s="12">
        <v>8273.4082530055657</v>
      </c>
    </row>
    <row r="23" spans="1:6">
      <c r="A23" s="10">
        <v>0.1</v>
      </c>
      <c r="B23" s="12">
        <v>10345.888724916773</v>
      </c>
    </row>
    <row r="24" spans="1:6">
      <c r="A24" s="10">
        <v>0.15</v>
      </c>
      <c r="B24" s="12">
        <v>11547.306830916703</v>
      </c>
    </row>
    <row r="25" spans="1:6">
      <c r="A25" s="10">
        <v>0.2</v>
      </c>
      <c r="B25" s="12">
        <v>12400.244462425124</v>
      </c>
    </row>
    <row r="26" spans="1:6">
      <c r="A26" s="10">
        <v>0.25</v>
      </c>
      <c r="B26" s="12">
        <v>13218.964018359682</v>
      </c>
    </row>
    <row r="27" spans="1:6">
      <c r="A27" s="10">
        <v>0.3</v>
      </c>
      <c r="B27" s="12">
        <v>13868.511238757301</v>
      </c>
    </row>
    <row r="28" spans="1:6">
      <c r="A28" s="10">
        <v>0.35</v>
      </c>
      <c r="B28" s="12">
        <v>14507.10040670653</v>
      </c>
    </row>
    <row r="29" spans="1:6">
      <c r="A29" s="10">
        <v>0.4</v>
      </c>
      <c r="B29" s="12">
        <v>15063.19331422972</v>
      </c>
    </row>
    <row r="30" spans="1:6">
      <c r="A30" s="10">
        <v>0.45</v>
      </c>
      <c r="B30" s="12">
        <v>15565.033584053524</v>
      </c>
      <c r="E30" s="3" t="s">
        <v>47</v>
      </c>
      <c r="F30" s="3" t="s">
        <v>48</v>
      </c>
    </row>
    <row r="31" spans="1:6">
      <c r="A31" s="10">
        <v>0.5</v>
      </c>
      <c r="B31" s="12">
        <v>16023.14163058538</v>
      </c>
      <c r="E31" s="2">
        <v>-2000</v>
      </c>
      <c r="F31">
        <v>0</v>
      </c>
    </row>
    <row r="32" spans="1:6">
      <c r="A32" s="10">
        <v>0.55000000000000004</v>
      </c>
      <c r="B32" s="12">
        <v>16471.168258277983</v>
      </c>
      <c r="E32" s="2">
        <v>-1000</v>
      </c>
      <c r="F32">
        <v>0</v>
      </c>
    </row>
    <row r="33" spans="1:6">
      <c r="A33" s="10">
        <v>0.6</v>
      </c>
      <c r="B33" s="12">
        <v>16951.580374423185</v>
      </c>
      <c r="E33" s="2">
        <v>0</v>
      </c>
      <c r="F33">
        <v>2</v>
      </c>
    </row>
    <row r="34" spans="1:6">
      <c r="A34" s="10">
        <v>0.65</v>
      </c>
      <c r="B34" s="12">
        <v>17455.887388734562</v>
      </c>
      <c r="E34" s="2">
        <v>1000</v>
      </c>
      <c r="F34">
        <v>5</v>
      </c>
    </row>
    <row r="35" spans="1:6">
      <c r="A35" s="10">
        <v>0.7</v>
      </c>
      <c r="B35" s="12">
        <v>17943.669477826024</v>
      </c>
      <c r="E35" s="2">
        <v>2000</v>
      </c>
      <c r="F35">
        <v>3</v>
      </c>
    </row>
    <row r="36" spans="1:6">
      <c r="A36" s="10">
        <v>0.75</v>
      </c>
      <c r="B36" s="12">
        <v>18484.182435987306</v>
      </c>
      <c r="E36" s="2">
        <v>3000</v>
      </c>
      <c r="F36">
        <v>10</v>
      </c>
    </row>
    <row r="37" spans="1:6">
      <c r="A37" s="10">
        <v>0.8</v>
      </c>
      <c r="B37" s="12">
        <v>19002.486720180968</v>
      </c>
      <c r="E37" s="2">
        <v>4000</v>
      </c>
      <c r="F37">
        <v>14</v>
      </c>
    </row>
    <row r="38" spans="1:6">
      <c r="A38" s="10">
        <v>0.85</v>
      </c>
      <c r="B38" s="12">
        <v>19500</v>
      </c>
      <c r="E38" s="2">
        <v>5000</v>
      </c>
      <c r="F38">
        <v>27</v>
      </c>
    </row>
    <row r="39" spans="1:6">
      <c r="A39" s="10">
        <v>0.9</v>
      </c>
      <c r="B39" s="12">
        <v>19500</v>
      </c>
      <c r="E39" s="2">
        <v>6000</v>
      </c>
      <c r="F39">
        <v>33</v>
      </c>
    </row>
    <row r="40" spans="1:6">
      <c r="A40" s="10">
        <v>0.95</v>
      </c>
      <c r="B40" s="12">
        <v>19500</v>
      </c>
      <c r="E40" s="2">
        <v>7000</v>
      </c>
      <c r="F40">
        <v>50</v>
      </c>
    </row>
    <row r="41" spans="1:6">
      <c r="A41" s="10">
        <v>0.97499999999999998</v>
      </c>
      <c r="B41" s="12">
        <v>19500</v>
      </c>
      <c r="E41" s="2">
        <v>8000</v>
      </c>
      <c r="F41">
        <v>78</v>
      </c>
    </row>
    <row r="42" spans="1:6">
      <c r="A42" s="10">
        <v>0.99</v>
      </c>
      <c r="B42" s="12">
        <v>19500</v>
      </c>
      <c r="E42" s="2">
        <v>9000</v>
      </c>
      <c r="F42">
        <v>107</v>
      </c>
    </row>
    <row r="43" spans="1:6">
      <c r="A43" s="10">
        <v>0.995</v>
      </c>
      <c r="B43" s="12">
        <v>19500</v>
      </c>
      <c r="E43" s="2">
        <v>10000</v>
      </c>
      <c r="F43">
        <v>123</v>
      </c>
    </row>
    <row r="44" spans="1:6">
      <c r="A44" s="10">
        <v>1</v>
      </c>
      <c r="B44" s="12">
        <v>19500</v>
      </c>
      <c r="E44" s="2">
        <v>11000</v>
      </c>
      <c r="F44">
        <v>160</v>
      </c>
    </row>
    <row r="45" spans="1:6">
      <c r="E45" s="2">
        <v>12000</v>
      </c>
      <c r="F45">
        <v>267</v>
      </c>
    </row>
    <row r="46" spans="1:6">
      <c r="E46" s="2">
        <v>13000</v>
      </c>
      <c r="F46">
        <v>303</v>
      </c>
    </row>
    <row r="47" spans="1:6">
      <c r="E47" s="2">
        <v>14000</v>
      </c>
      <c r="F47">
        <v>365</v>
      </c>
    </row>
    <row r="48" spans="1:6">
      <c r="E48" s="2">
        <v>15000</v>
      </c>
      <c r="F48">
        <v>424</v>
      </c>
    </row>
    <row r="49" spans="5:6">
      <c r="E49" s="2">
        <v>16000</v>
      </c>
      <c r="F49">
        <v>517</v>
      </c>
    </row>
    <row r="50" spans="5:6">
      <c r="E50" s="2">
        <v>17000</v>
      </c>
      <c r="F50">
        <v>533</v>
      </c>
    </row>
    <row r="51" spans="5:6">
      <c r="E51" s="2">
        <v>18000</v>
      </c>
      <c r="F51">
        <v>503</v>
      </c>
    </row>
    <row r="52" spans="5:6">
      <c r="E52" s="2">
        <v>19000</v>
      </c>
      <c r="F52">
        <v>475</v>
      </c>
    </row>
    <row r="53" spans="5:6">
      <c r="E53" s="2">
        <v>20000</v>
      </c>
      <c r="F53">
        <v>1001</v>
      </c>
    </row>
  </sheetData>
  <pageMargins left="0.7" right="0.7" top="0.75" bottom="0.75" header="0.3" footer="0.3"/>
  <pageSetup orientation="portrait" verticalDpi="300" r:id="rId1"/>
  <headerFooter>
    <oddHeader>&amp;L&amp;"Arial,Bold"SimVoi 313 Student Version&amp;R&amp;"Arial,Bold"Only For Students And Instructors</oddHeader>
    <oddFooter>&amp;L&amp;"Arial,Bold"Not For Commercial Use&amp;R&amp;"Arial,Bold"SimVoi.com</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F5AB-9813-4733-B8E0-1B7D4A6B788B}">
  <sheetPr>
    <pageSetUpPr fitToPage="1"/>
  </sheetPr>
  <dimension ref="A1:I57"/>
  <sheetViews>
    <sheetView workbookViewId="0">
      <selection activeCell="B4" sqref="B4"/>
    </sheetView>
  </sheetViews>
  <sheetFormatPr defaultRowHeight="14.5"/>
  <cols>
    <col min="1" max="1" width="15.36328125" bestFit="1" customWidth="1"/>
    <col min="2" max="2" width="11.81640625" bestFit="1" customWidth="1"/>
    <col min="5" max="5" width="10.453125" bestFit="1" customWidth="1"/>
    <col min="6" max="6" width="15.6328125" bestFit="1" customWidth="1"/>
    <col min="7" max="7" width="25.6328125" customWidth="1"/>
    <col min="8" max="8" width="13" bestFit="1" customWidth="1"/>
    <col min="9" max="9" width="11.81640625" bestFit="1" customWidth="1"/>
  </cols>
  <sheetData>
    <row r="1" spans="1:9">
      <c r="A1" s="5" t="s">
        <v>31</v>
      </c>
      <c r="E1" s="5" t="s">
        <v>42</v>
      </c>
      <c r="H1" t="s">
        <v>32</v>
      </c>
      <c r="I1" s="2">
        <v>15669.80227946778</v>
      </c>
    </row>
    <row r="2" spans="1:9">
      <c r="A2" s="5" t="s">
        <v>15</v>
      </c>
      <c r="E2" t="s">
        <v>16</v>
      </c>
      <c r="F2" s="7">
        <v>45777</v>
      </c>
      <c r="H2" t="s">
        <v>33</v>
      </c>
      <c r="I2" s="2">
        <v>4002.6716970955977</v>
      </c>
    </row>
    <row r="3" spans="1:9">
      <c r="B3" s="3" t="s">
        <v>2</v>
      </c>
      <c r="E3" t="s">
        <v>17</v>
      </c>
      <c r="F3" s="8">
        <v>0.75001157407407404</v>
      </c>
      <c r="H3" t="s">
        <v>34</v>
      </c>
      <c r="I3" s="2">
        <v>56.60632599759527</v>
      </c>
    </row>
    <row r="4" spans="1:9">
      <c r="A4" t="s">
        <v>32</v>
      </c>
      <c r="B4" s="12">
        <v>15669.80227946778</v>
      </c>
      <c r="E4" t="s">
        <v>43</v>
      </c>
      <c r="F4" s="6">
        <v>5000</v>
      </c>
      <c r="H4" t="s">
        <v>35</v>
      </c>
      <c r="I4" s="11">
        <v>-0.73401396478496717</v>
      </c>
    </row>
    <row r="5" spans="1:9">
      <c r="A5" t="s">
        <v>33</v>
      </c>
      <c r="B5" s="12">
        <v>4002.6716970955977</v>
      </c>
      <c r="E5" t="s">
        <v>21</v>
      </c>
      <c r="F5" s="6">
        <v>1517175555</v>
      </c>
      <c r="I5" s="2"/>
    </row>
    <row r="6" spans="1:9">
      <c r="A6" t="s">
        <v>34</v>
      </c>
      <c r="B6" s="12">
        <v>56.60632599759527</v>
      </c>
      <c r="E6" t="s">
        <v>19</v>
      </c>
      <c r="F6" s="6" t="s">
        <v>56</v>
      </c>
      <c r="H6" t="s">
        <v>36</v>
      </c>
      <c r="I6" s="2">
        <v>-3171.3167096624929</v>
      </c>
    </row>
    <row r="7" spans="1:9">
      <c r="A7" t="s">
        <v>35</v>
      </c>
      <c r="B7" s="13">
        <v>-0.73401396478496717</v>
      </c>
      <c r="E7" s="5" t="s">
        <v>15</v>
      </c>
      <c r="F7" s="6"/>
      <c r="H7" t="s">
        <v>37</v>
      </c>
      <c r="I7" s="2">
        <v>13067.588204484631</v>
      </c>
    </row>
    <row r="8" spans="1:9">
      <c r="A8" s="5" t="s">
        <v>18</v>
      </c>
      <c r="B8" s="12"/>
      <c r="E8" t="s">
        <v>44</v>
      </c>
      <c r="F8" s="6" t="s">
        <v>57</v>
      </c>
      <c r="H8" t="s">
        <v>38</v>
      </c>
      <c r="I8" s="2">
        <v>16286.751857278074</v>
      </c>
    </row>
    <row r="9" spans="1:9">
      <c r="A9" t="s">
        <v>36</v>
      </c>
      <c r="B9" s="12">
        <v>-3171.3167096624929</v>
      </c>
      <c r="E9" t="s">
        <v>45</v>
      </c>
      <c r="F9" s="6" t="s">
        <v>25</v>
      </c>
      <c r="H9" t="s">
        <v>39</v>
      </c>
      <c r="I9" s="2">
        <v>18762.11950194704</v>
      </c>
    </row>
    <row r="10" spans="1:9">
      <c r="A10" t="s">
        <v>37</v>
      </c>
      <c r="B10" s="12">
        <v>13067.588204484631</v>
      </c>
      <c r="E10" t="s">
        <v>46</v>
      </c>
      <c r="F10" s="6" t="s">
        <v>2</v>
      </c>
      <c r="H10" t="s">
        <v>40</v>
      </c>
      <c r="I10" s="2">
        <v>21000</v>
      </c>
    </row>
    <row r="11" spans="1:9">
      <c r="A11" t="s">
        <v>38</v>
      </c>
      <c r="B11" s="12">
        <v>16286.751857278074</v>
      </c>
      <c r="E11" s="5" t="s">
        <v>18</v>
      </c>
    </row>
    <row r="12" spans="1:9">
      <c r="A12" t="s">
        <v>39</v>
      </c>
      <c r="B12" s="12">
        <v>18762.11950194704</v>
      </c>
    </row>
    <row r="13" spans="1:9">
      <c r="A13" t="s">
        <v>40</v>
      </c>
      <c r="B13" s="12">
        <v>21000</v>
      </c>
    </row>
    <row r="14" spans="1:9">
      <c r="B14" s="12"/>
    </row>
    <row r="15" spans="1:9">
      <c r="B15" s="12"/>
    </row>
    <row r="16" spans="1:9">
      <c r="A16" t="s">
        <v>41</v>
      </c>
      <c r="B16" s="12"/>
    </row>
    <row r="17" spans="1:6">
      <c r="B17" s="12" t="s">
        <v>2</v>
      </c>
    </row>
    <row r="18" spans="1:6">
      <c r="A18" s="10">
        <v>0</v>
      </c>
      <c r="B18" s="12">
        <v>-3171.3167096624929</v>
      </c>
    </row>
    <row r="19" spans="1:6">
      <c r="A19" s="10">
        <v>5.0000000000000001E-3</v>
      </c>
      <c r="B19" s="12">
        <v>3360.8772419163461</v>
      </c>
    </row>
    <row r="20" spans="1:6">
      <c r="A20" s="10">
        <v>0.01</v>
      </c>
      <c r="B20" s="12">
        <v>4760.2349288263367</v>
      </c>
    </row>
    <row r="21" spans="1:6">
      <c r="A21" s="10">
        <v>2.5000000000000001E-2</v>
      </c>
      <c r="B21" s="12">
        <v>6547.2647689641281</v>
      </c>
    </row>
    <row r="22" spans="1:6">
      <c r="A22" s="10">
        <v>0.05</v>
      </c>
      <c r="B22" s="12">
        <v>8213.4529418871934</v>
      </c>
    </row>
    <row r="23" spans="1:6">
      <c r="A23" s="10">
        <v>0.1</v>
      </c>
      <c r="B23" s="12">
        <v>10188.29720182643</v>
      </c>
    </row>
    <row r="24" spans="1:6">
      <c r="A24" s="10">
        <v>0.15</v>
      </c>
      <c r="B24" s="12">
        <v>11377.158845163294</v>
      </c>
    </row>
    <row r="25" spans="1:6">
      <c r="A25" s="10">
        <v>0.2</v>
      </c>
      <c r="B25" s="12">
        <v>12289.459057808835</v>
      </c>
    </row>
    <row r="26" spans="1:6">
      <c r="A26" s="10">
        <v>0.25</v>
      </c>
      <c r="B26" s="12">
        <v>13067.588204484631</v>
      </c>
    </row>
    <row r="27" spans="1:6">
      <c r="A27" s="10">
        <v>0.3</v>
      </c>
      <c r="B27" s="12">
        <v>13842.832557551639</v>
      </c>
    </row>
    <row r="28" spans="1:6">
      <c r="A28" s="10">
        <v>0.35</v>
      </c>
      <c r="B28" s="12">
        <v>14482.683652940013</v>
      </c>
    </row>
    <row r="29" spans="1:6">
      <c r="A29" s="10">
        <v>0.4</v>
      </c>
      <c r="B29" s="12">
        <v>15093.864642871156</v>
      </c>
    </row>
    <row r="30" spans="1:6">
      <c r="A30" s="10">
        <v>0.45</v>
      </c>
      <c r="B30" s="12">
        <v>15712.776635539552</v>
      </c>
      <c r="E30" s="3" t="s">
        <v>47</v>
      </c>
      <c r="F30" s="3" t="s">
        <v>48</v>
      </c>
    </row>
    <row r="31" spans="1:6">
      <c r="A31" s="10">
        <v>0.5</v>
      </c>
      <c r="B31" s="12">
        <v>16286.751857278074</v>
      </c>
      <c r="E31" s="2">
        <v>-4000</v>
      </c>
      <c r="F31">
        <v>0</v>
      </c>
    </row>
    <row r="32" spans="1:6">
      <c r="A32" s="10">
        <v>0.55000000000000004</v>
      </c>
      <c r="B32" s="12">
        <v>16842.192887981193</v>
      </c>
      <c r="E32" s="2">
        <v>-3000</v>
      </c>
      <c r="F32">
        <v>1</v>
      </c>
    </row>
    <row r="33" spans="1:6">
      <c r="A33" s="10">
        <v>0.6</v>
      </c>
      <c r="B33" s="12">
        <v>17349.765924746454</v>
      </c>
      <c r="E33" s="2">
        <v>-2000</v>
      </c>
      <c r="F33">
        <v>0</v>
      </c>
    </row>
    <row r="34" spans="1:6">
      <c r="A34" s="10">
        <v>0.65</v>
      </c>
      <c r="B34" s="12">
        <v>17821.317057598273</v>
      </c>
      <c r="E34" s="2">
        <v>-1000</v>
      </c>
      <c r="F34">
        <v>0</v>
      </c>
    </row>
    <row r="35" spans="1:6">
      <c r="A35" s="10">
        <v>0.7</v>
      </c>
      <c r="B35" s="12">
        <v>18293.872606651566</v>
      </c>
      <c r="E35" s="2">
        <v>0</v>
      </c>
      <c r="F35">
        <v>1</v>
      </c>
    </row>
    <row r="36" spans="1:6">
      <c r="A36" s="10">
        <v>0.75</v>
      </c>
      <c r="B36" s="12">
        <v>18762.11950194704</v>
      </c>
      <c r="E36" s="2">
        <v>1000</v>
      </c>
      <c r="F36">
        <v>5</v>
      </c>
    </row>
    <row r="37" spans="1:6">
      <c r="A37" s="10">
        <v>0.8</v>
      </c>
      <c r="B37" s="12">
        <v>19326.514152357362</v>
      </c>
      <c r="E37" s="2">
        <v>2000</v>
      </c>
      <c r="F37">
        <v>6</v>
      </c>
    </row>
    <row r="38" spans="1:6">
      <c r="A38" s="10">
        <v>0.85</v>
      </c>
      <c r="B38" s="12">
        <v>19978.718800877225</v>
      </c>
      <c r="E38" s="2">
        <v>3000</v>
      </c>
      <c r="F38">
        <v>9</v>
      </c>
    </row>
    <row r="39" spans="1:6">
      <c r="A39" s="10">
        <v>0.9</v>
      </c>
      <c r="B39" s="12">
        <v>20838.031194740059</v>
      </c>
      <c r="E39" s="2">
        <v>4000</v>
      </c>
      <c r="F39">
        <v>15</v>
      </c>
    </row>
    <row r="40" spans="1:6">
      <c r="A40" s="10">
        <v>0.95</v>
      </c>
      <c r="B40" s="12">
        <v>21000</v>
      </c>
      <c r="E40" s="2">
        <v>5000</v>
      </c>
      <c r="F40">
        <v>21</v>
      </c>
    </row>
    <row r="41" spans="1:6">
      <c r="A41" s="10">
        <v>0.97499999999999998</v>
      </c>
      <c r="B41" s="12">
        <v>21000</v>
      </c>
      <c r="E41" s="2">
        <v>6000</v>
      </c>
      <c r="F41">
        <v>40</v>
      </c>
    </row>
    <row r="42" spans="1:6">
      <c r="A42" s="10">
        <v>0.99</v>
      </c>
      <c r="B42" s="12">
        <v>21000</v>
      </c>
      <c r="E42" s="2">
        <v>7000</v>
      </c>
      <c r="F42">
        <v>50</v>
      </c>
    </row>
    <row r="43" spans="1:6">
      <c r="A43" s="10">
        <v>0.995</v>
      </c>
      <c r="B43" s="12">
        <v>21000</v>
      </c>
      <c r="E43" s="2">
        <v>8000</v>
      </c>
      <c r="F43">
        <v>83</v>
      </c>
    </row>
    <row r="44" spans="1:6">
      <c r="A44" s="10">
        <v>1</v>
      </c>
      <c r="B44" s="12">
        <v>21000</v>
      </c>
      <c r="E44" s="2">
        <v>9000</v>
      </c>
      <c r="F44">
        <v>104</v>
      </c>
    </row>
    <row r="45" spans="1:6">
      <c r="E45" s="2">
        <v>10000</v>
      </c>
      <c r="F45">
        <v>144</v>
      </c>
    </row>
    <row r="46" spans="1:6">
      <c r="E46" s="2">
        <v>11000</v>
      </c>
      <c r="F46">
        <v>169</v>
      </c>
    </row>
    <row r="47" spans="1:6">
      <c r="E47" s="2">
        <v>12000</v>
      </c>
      <c r="F47">
        <v>281</v>
      </c>
    </row>
    <row r="48" spans="1:6">
      <c r="E48" s="2">
        <v>13000</v>
      </c>
      <c r="F48">
        <v>299</v>
      </c>
    </row>
    <row r="49" spans="5:6">
      <c r="E49" s="2">
        <v>14000</v>
      </c>
      <c r="F49">
        <v>335</v>
      </c>
    </row>
    <row r="50" spans="5:6">
      <c r="E50" s="2">
        <v>15000</v>
      </c>
      <c r="F50">
        <v>388</v>
      </c>
    </row>
    <row r="51" spans="5:6">
      <c r="E51" s="2">
        <v>16000</v>
      </c>
      <c r="F51">
        <v>416</v>
      </c>
    </row>
    <row r="52" spans="5:6">
      <c r="E52" s="2">
        <v>17000</v>
      </c>
      <c r="F52">
        <v>466</v>
      </c>
    </row>
    <row r="53" spans="5:6">
      <c r="E53" s="2">
        <v>18000</v>
      </c>
      <c r="F53">
        <v>504</v>
      </c>
    </row>
    <row r="54" spans="5:6">
      <c r="E54" s="2">
        <v>19000</v>
      </c>
      <c r="F54">
        <v>526</v>
      </c>
    </row>
    <row r="55" spans="5:6">
      <c r="E55" s="2">
        <v>20000</v>
      </c>
      <c r="F55">
        <v>396</v>
      </c>
    </row>
    <row r="56" spans="5:6">
      <c r="E56" s="2">
        <v>21000</v>
      </c>
      <c r="F56">
        <v>741</v>
      </c>
    </row>
    <row r="57" spans="5:6">
      <c r="E57" s="2">
        <v>22000</v>
      </c>
      <c r="F57">
        <v>0</v>
      </c>
    </row>
  </sheetData>
  <pageMargins left="0.7" right="0.7" top="0.75" bottom="0.75" header="0.3" footer="0.3"/>
  <pageSetup orientation="portrait" verticalDpi="300" r:id="rId1"/>
  <headerFooter>
    <oddHeader>&amp;L&amp;"Arial,Bold"SimVoi 313 Student Version&amp;R&amp;"Arial,Bold"Only For Students And Instructors</oddHeader>
    <oddFooter>&amp;L&amp;"Arial,Bold"Not For Commercial Use&amp;R&amp;"Arial,Bold"SimVoi.com</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58BE8-2519-4FFA-90E9-F1AF3527941B}">
  <sheetPr>
    <pageSetUpPr fitToPage="1"/>
  </sheetPr>
  <dimension ref="A1:I57"/>
  <sheetViews>
    <sheetView workbookViewId="0">
      <selection activeCell="B4" sqref="B4"/>
    </sheetView>
  </sheetViews>
  <sheetFormatPr defaultRowHeight="14.5"/>
  <cols>
    <col min="1" max="1" width="15.36328125" bestFit="1" customWidth="1"/>
    <col min="2" max="2" width="12.453125" bestFit="1" customWidth="1"/>
    <col min="5" max="5" width="10.453125" bestFit="1" customWidth="1"/>
    <col min="6" max="6" width="15.6328125" bestFit="1" customWidth="1"/>
    <col min="7" max="7" width="25.6328125" customWidth="1"/>
    <col min="8" max="8" width="13" bestFit="1" customWidth="1"/>
    <col min="9" max="9" width="12.453125" bestFit="1" customWidth="1"/>
  </cols>
  <sheetData>
    <row r="1" spans="1:9">
      <c r="A1" s="5" t="s">
        <v>31</v>
      </c>
      <c r="E1" s="5" t="s">
        <v>42</v>
      </c>
      <c r="H1" t="s">
        <v>32</v>
      </c>
      <c r="I1" s="2">
        <v>15760.596831376737</v>
      </c>
    </row>
    <row r="2" spans="1:9">
      <c r="A2" s="5" t="s">
        <v>15</v>
      </c>
      <c r="E2" t="s">
        <v>16</v>
      </c>
      <c r="F2" s="7">
        <v>45777</v>
      </c>
      <c r="H2" t="s">
        <v>33</v>
      </c>
      <c r="I2" s="2">
        <v>4339.9704193860398</v>
      </c>
    </row>
    <row r="3" spans="1:9">
      <c r="B3" s="3" t="s">
        <v>2</v>
      </c>
      <c r="E3" t="s">
        <v>17</v>
      </c>
      <c r="F3" s="8">
        <v>0.75687499999999996</v>
      </c>
      <c r="H3" t="s">
        <v>34</v>
      </c>
      <c r="I3" s="2">
        <v>61.376450273937863</v>
      </c>
    </row>
    <row r="4" spans="1:9">
      <c r="A4" t="s">
        <v>32</v>
      </c>
      <c r="B4" s="12">
        <v>15760.596831376737</v>
      </c>
      <c r="E4" t="s">
        <v>43</v>
      </c>
      <c r="F4" s="6">
        <v>5000</v>
      </c>
      <c r="H4" t="s">
        <v>35</v>
      </c>
      <c r="I4" s="11">
        <v>-0.46030540445908424</v>
      </c>
    </row>
    <row r="5" spans="1:9">
      <c r="A5" t="s">
        <v>33</v>
      </c>
      <c r="B5" s="12">
        <v>4339.9704193860398</v>
      </c>
      <c r="E5" t="s">
        <v>21</v>
      </c>
      <c r="F5" s="6">
        <v>2093375094</v>
      </c>
      <c r="I5" s="2"/>
    </row>
    <row r="6" spans="1:9">
      <c r="A6" t="s">
        <v>34</v>
      </c>
      <c r="B6" s="12">
        <v>61.376450273937863</v>
      </c>
      <c r="E6" t="s">
        <v>19</v>
      </c>
      <c r="F6" s="6" t="s">
        <v>56</v>
      </c>
      <c r="H6" t="s">
        <v>36</v>
      </c>
      <c r="I6" s="2">
        <v>-1032.6486275400875</v>
      </c>
    </row>
    <row r="7" spans="1:9">
      <c r="A7" t="s">
        <v>35</v>
      </c>
      <c r="B7" s="13">
        <v>-0.46030540445908424</v>
      </c>
      <c r="E7" s="5" t="s">
        <v>15</v>
      </c>
      <c r="F7" s="6"/>
      <c r="H7" t="s">
        <v>37</v>
      </c>
      <c r="I7" s="2">
        <v>12719.46114526804</v>
      </c>
    </row>
    <row r="8" spans="1:9">
      <c r="A8" s="5" t="s">
        <v>18</v>
      </c>
      <c r="B8" s="12"/>
      <c r="E8" t="s">
        <v>44</v>
      </c>
      <c r="F8" s="6" t="s">
        <v>57</v>
      </c>
      <c r="H8" t="s">
        <v>38</v>
      </c>
      <c r="I8" s="2">
        <v>16188.578363548915</v>
      </c>
    </row>
    <row r="9" spans="1:9">
      <c r="A9" t="s">
        <v>36</v>
      </c>
      <c r="B9" s="12">
        <v>-1032.6486275400875</v>
      </c>
      <c r="E9" t="s">
        <v>45</v>
      </c>
      <c r="F9" s="6" t="s">
        <v>25</v>
      </c>
      <c r="H9" t="s">
        <v>39</v>
      </c>
      <c r="I9" s="2">
        <v>19163.312500435532</v>
      </c>
    </row>
    <row r="10" spans="1:9">
      <c r="A10" t="s">
        <v>37</v>
      </c>
      <c r="B10" s="12">
        <v>12719.46114526804</v>
      </c>
      <c r="E10" t="s">
        <v>46</v>
      </c>
      <c r="F10" s="6" t="s">
        <v>2</v>
      </c>
      <c r="H10" t="s">
        <v>40</v>
      </c>
      <c r="I10" s="2">
        <v>22500</v>
      </c>
    </row>
    <row r="11" spans="1:9">
      <c r="A11" t="s">
        <v>38</v>
      </c>
      <c r="B11" s="12">
        <v>16188.578363548915</v>
      </c>
      <c r="E11" s="5" t="s">
        <v>18</v>
      </c>
    </row>
    <row r="12" spans="1:9">
      <c r="A12" t="s">
        <v>39</v>
      </c>
      <c r="B12" s="12">
        <v>19163.312500435532</v>
      </c>
    </row>
    <row r="13" spans="1:9">
      <c r="A13" t="s">
        <v>40</v>
      </c>
      <c r="B13" s="12">
        <v>22500</v>
      </c>
    </row>
    <row r="14" spans="1:9">
      <c r="B14" s="12"/>
    </row>
    <row r="15" spans="1:9">
      <c r="B15" s="12"/>
    </row>
    <row r="16" spans="1:9">
      <c r="A16" t="s">
        <v>41</v>
      </c>
      <c r="B16" s="12"/>
    </row>
    <row r="17" spans="1:6">
      <c r="B17" s="12" t="s">
        <v>2</v>
      </c>
    </row>
    <row r="18" spans="1:6">
      <c r="A18" s="10">
        <v>0</v>
      </c>
      <c r="B18" s="12">
        <v>-1032.6486275400875</v>
      </c>
    </row>
    <row r="19" spans="1:6">
      <c r="A19" s="10">
        <v>5.0000000000000001E-3</v>
      </c>
      <c r="B19" s="12">
        <v>3732.9773254624929</v>
      </c>
    </row>
    <row r="20" spans="1:6">
      <c r="A20" s="10">
        <v>0.01</v>
      </c>
      <c r="B20" s="12">
        <v>4723.6936585974045</v>
      </c>
    </row>
    <row r="21" spans="1:6">
      <c r="A21" s="10">
        <v>2.5000000000000001E-2</v>
      </c>
      <c r="B21" s="12">
        <v>6485.227559963605</v>
      </c>
    </row>
    <row r="22" spans="1:6">
      <c r="A22" s="10">
        <v>0.05</v>
      </c>
      <c r="B22" s="12">
        <v>8067.3985793423608</v>
      </c>
    </row>
    <row r="23" spans="1:6">
      <c r="A23" s="10">
        <v>0.1</v>
      </c>
      <c r="B23" s="12">
        <v>9813.9655544038469</v>
      </c>
    </row>
    <row r="24" spans="1:6">
      <c r="A24" s="10">
        <v>0.15</v>
      </c>
      <c r="B24" s="12">
        <v>11032.795308642666</v>
      </c>
    </row>
    <row r="25" spans="1:6">
      <c r="A25" s="10">
        <v>0.2</v>
      </c>
      <c r="B25" s="12">
        <v>11887.238223611557</v>
      </c>
    </row>
    <row r="26" spans="1:6">
      <c r="A26" s="10">
        <v>0.25</v>
      </c>
      <c r="B26" s="12">
        <v>12719.46114526804</v>
      </c>
    </row>
    <row r="27" spans="1:6">
      <c r="A27" s="10">
        <v>0.3</v>
      </c>
      <c r="B27" s="12">
        <v>13484.268663340274</v>
      </c>
    </row>
    <row r="28" spans="1:6">
      <c r="A28" s="10">
        <v>0.35</v>
      </c>
      <c r="B28" s="12">
        <v>14141.232631566914</v>
      </c>
    </row>
    <row r="29" spans="1:6">
      <c r="A29" s="10">
        <v>0.4</v>
      </c>
      <c r="B29" s="12">
        <v>14880.62497788703</v>
      </c>
    </row>
    <row r="30" spans="1:6">
      <c r="A30" s="10">
        <v>0.45</v>
      </c>
      <c r="B30" s="12">
        <v>15566.891349369076</v>
      </c>
      <c r="E30" s="3" t="s">
        <v>47</v>
      </c>
      <c r="F30" s="3" t="s">
        <v>48</v>
      </c>
    </row>
    <row r="31" spans="1:6">
      <c r="A31" s="10">
        <v>0.5</v>
      </c>
      <c r="B31" s="12">
        <v>16188.578363548915</v>
      </c>
      <c r="E31" s="2">
        <v>-2000</v>
      </c>
      <c r="F31">
        <v>0</v>
      </c>
    </row>
    <row r="32" spans="1:6">
      <c r="A32" s="10">
        <v>0.55000000000000004</v>
      </c>
      <c r="B32" s="12">
        <v>16807.094551620808</v>
      </c>
      <c r="E32" s="2">
        <v>-1000</v>
      </c>
      <c r="F32">
        <v>1</v>
      </c>
    </row>
    <row r="33" spans="1:6">
      <c r="A33" s="10">
        <v>0.6</v>
      </c>
      <c r="B33" s="12">
        <v>17510.710923817645</v>
      </c>
      <c r="E33" s="2">
        <v>0</v>
      </c>
      <c r="F33">
        <v>0</v>
      </c>
    </row>
    <row r="34" spans="1:6">
      <c r="A34" s="10">
        <v>0.65</v>
      </c>
      <c r="B34" s="12">
        <v>18093.159375214174</v>
      </c>
      <c r="E34" s="2">
        <v>1000</v>
      </c>
      <c r="F34">
        <v>0</v>
      </c>
    </row>
    <row r="35" spans="1:6">
      <c r="A35" s="10">
        <v>0.7</v>
      </c>
      <c r="B35" s="12">
        <v>18650.001280495675</v>
      </c>
      <c r="E35" s="2">
        <v>2000</v>
      </c>
      <c r="F35">
        <v>4</v>
      </c>
    </row>
    <row r="36" spans="1:6">
      <c r="A36" s="10">
        <v>0.75</v>
      </c>
      <c r="B36" s="12">
        <v>19163.312500435532</v>
      </c>
      <c r="E36" s="2">
        <v>3000</v>
      </c>
      <c r="F36">
        <v>7</v>
      </c>
    </row>
    <row r="37" spans="1:6">
      <c r="A37" s="10">
        <v>0.8</v>
      </c>
      <c r="B37" s="12">
        <v>19767.505772469594</v>
      </c>
      <c r="E37" s="2">
        <v>4000</v>
      </c>
      <c r="F37">
        <v>19</v>
      </c>
    </row>
    <row r="38" spans="1:6">
      <c r="A38" s="10">
        <v>0.85</v>
      </c>
      <c r="B38" s="12">
        <v>20439.224931428736</v>
      </c>
      <c r="E38" s="2">
        <v>5000</v>
      </c>
      <c r="F38">
        <v>26</v>
      </c>
    </row>
    <row r="39" spans="1:6">
      <c r="A39" s="10">
        <v>0.9</v>
      </c>
      <c r="B39" s="12">
        <v>21199.432895593229</v>
      </c>
      <c r="E39" s="2">
        <v>6000</v>
      </c>
      <c r="F39">
        <v>40</v>
      </c>
    </row>
    <row r="40" spans="1:6">
      <c r="A40" s="10">
        <v>0.95</v>
      </c>
      <c r="B40" s="12">
        <v>22338.660459269166</v>
      </c>
      <c r="E40" s="2">
        <v>7000</v>
      </c>
      <c r="F40">
        <v>62</v>
      </c>
    </row>
    <row r="41" spans="1:6">
      <c r="A41" s="10">
        <v>0.97499999999999998</v>
      </c>
      <c r="B41" s="12">
        <v>22500</v>
      </c>
      <c r="E41" s="2">
        <v>8000</v>
      </c>
      <c r="F41">
        <v>81</v>
      </c>
    </row>
    <row r="42" spans="1:6">
      <c r="A42" s="10">
        <v>0.99</v>
      </c>
      <c r="B42" s="12">
        <v>22500</v>
      </c>
      <c r="E42" s="2">
        <v>9000</v>
      </c>
      <c r="F42">
        <v>130</v>
      </c>
    </row>
    <row r="43" spans="1:6">
      <c r="A43" s="10">
        <v>0.995</v>
      </c>
      <c r="B43" s="12">
        <v>22500</v>
      </c>
      <c r="E43" s="2">
        <v>10000</v>
      </c>
      <c r="F43">
        <v>166</v>
      </c>
    </row>
    <row r="44" spans="1:6">
      <c r="A44" s="10">
        <v>1</v>
      </c>
      <c r="B44" s="12">
        <v>22500</v>
      </c>
      <c r="E44" s="2">
        <v>11000</v>
      </c>
      <c r="F44">
        <v>206</v>
      </c>
    </row>
    <row r="45" spans="1:6">
      <c r="E45" s="2">
        <v>12000</v>
      </c>
      <c r="F45">
        <v>286</v>
      </c>
    </row>
    <row r="46" spans="1:6">
      <c r="E46" s="2">
        <v>13000</v>
      </c>
      <c r="F46">
        <v>303</v>
      </c>
    </row>
    <row r="47" spans="1:6">
      <c r="E47" s="2">
        <v>14000</v>
      </c>
      <c r="F47">
        <v>368</v>
      </c>
    </row>
    <row r="48" spans="1:6">
      <c r="E48" s="2">
        <v>15000</v>
      </c>
      <c r="F48">
        <v>347</v>
      </c>
    </row>
    <row r="49" spans="5:6">
      <c r="E49" s="2">
        <v>16000</v>
      </c>
      <c r="F49">
        <v>388</v>
      </c>
    </row>
    <row r="50" spans="5:6">
      <c r="E50" s="2">
        <v>17000</v>
      </c>
      <c r="F50">
        <v>379</v>
      </c>
    </row>
    <row r="51" spans="5:6">
      <c r="E51" s="2">
        <v>18000</v>
      </c>
      <c r="F51">
        <v>386</v>
      </c>
    </row>
    <row r="52" spans="5:6">
      <c r="E52" s="2">
        <v>19000</v>
      </c>
      <c r="F52">
        <v>479</v>
      </c>
    </row>
    <row r="53" spans="5:6">
      <c r="E53" s="2">
        <v>20000</v>
      </c>
      <c r="F53">
        <v>396</v>
      </c>
    </row>
    <row r="54" spans="5:6">
      <c r="E54" s="2">
        <v>21000</v>
      </c>
      <c r="F54">
        <v>365</v>
      </c>
    </row>
    <row r="55" spans="5:6">
      <c r="E55" s="2">
        <v>22000</v>
      </c>
      <c r="F55">
        <v>242</v>
      </c>
    </row>
    <row r="56" spans="5:6">
      <c r="E56" s="2">
        <v>23000</v>
      </c>
      <c r="F56">
        <v>319</v>
      </c>
    </row>
    <row r="57" spans="5:6">
      <c r="E57" s="2">
        <v>24000</v>
      </c>
      <c r="F57">
        <v>0</v>
      </c>
    </row>
  </sheetData>
  <pageMargins left="0.7" right="0.7" top="0.75" bottom="0.75" header="0.3" footer="0.3"/>
  <pageSetup orientation="portrait" verticalDpi="300" r:id="rId1"/>
  <headerFooter>
    <oddHeader>&amp;L&amp;"Arial,Bold"SimVoi 313 Student Version&amp;R&amp;"Arial,Bold"Only For Students And Instructors</oddHeader>
    <oddFooter>&amp;L&amp;"Arial,Bold"Not For Commercial Use&amp;R&amp;"Arial,Bold"SimVoi.com</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97DB1-88CE-4ADE-A563-6CE8777F9468}">
  <sheetPr>
    <pageSetUpPr fitToPage="1"/>
  </sheetPr>
  <dimension ref="A1:I57"/>
  <sheetViews>
    <sheetView workbookViewId="0">
      <selection activeCell="B4" sqref="B4"/>
    </sheetView>
  </sheetViews>
  <sheetFormatPr defaultRowHeight="14.5"/>
  <cols>
    <col min="1" max="1" width="15.36328125" bestFit="1" customWidth="1"/>
    <col min="2" max="2" width="11.81640625" bestFit="1" customWidth="1"/>
    <col min="5" max="5" width="10.453125" bestFit="1" customWidth="1"/>
    <col min="6" max="6" width="15.6328125" bestFit="1" customWidth="1"/>
    <col min="7" max="7" width="25.6328125" customWidth="1"/>
    <col min="8" max="8" width="13" bestFit="1" customWidth="1"/>
    <col min="9" max="9" width="11.81640625" bestFit="1" customWidth="1"/>
  </cols>
  <sheetData>
    <row r="1" spans="1:9">
      <c r="A1" s="5" t="s">
        <v>31</v>
      </c>
      <c r="E1" s="5" t="s">
        <v>42</v>
      </c>
      <c r="H1" t="s">
        <v>32</v>
      </c>
      <c r="I1" s="2">
        <v>15825.542789241739</v>
      </c>
    </row>
    <row r="2" spans="1:9">
      <c r="A2" s="5" t="s">
        <v>15</v>
      </c>
      <c r="E2" t="s">
        <v>16</v>
      </c>
      <c r="F2" s="7">
        <v>45777</v>
      </c>
      <c r="H2" t="s">
        <v>33</v>
      </c>
      <c r="I2" s="2">
        <v>4512.7967189974534</v>
      </c>
    </row>
    <row r="3" spans="1:9">
      <c r="B3" s="3" t="s">
        <v>2</v>
      </c>
      <c r="E3" t="s">
        <v>17</v>
      </c>
      <c r="F3" s="8">
        <v>0.75069444444444444</v>
      </c>
      <c r="H3" t="s">
        <v>34</v>
      </c>
      <c r="I3" s="2">
        <v>63.820583242390036</v>
      </c>
    </row>
    <row r="4" spans="1:9">
      <c r="A4" t="s">
        <v>32</v>
      </c>
      <c r="B4" s="12">
        <v>15825.542789241739</v>
      </c>
      <c r="E4" t="s">
        <v>43</v>
      </c>
      <c r="F4" s="6">
        <v>5000</v>
      </c>
      <c r="H4" t="s">
        <v>35</v>
      </c>
      <c r="I4" s="11">
        <v>-0.35470153115414649</v>
      </c>
    </row>
    <row r="5" spans="1:9">
      <c r="A5" t="s">
        <v>33</v>
      </c>
      <c r="B5" s="12">
        <v>4512.7967189974534</v>
      </c>
      <c r="E5" t="s">
        <v>21</v>
      </c>
      <c r="F5" s="6">
        <v>570166669</v>
      </c>
      <c r="I5" s="2"/>
    </row>
    <row r="6" spans="1:9">
      <c r="A6" t="s">
        <v>34</v>
      </c>
      <c r="B6" s="12">
        <v>63.820583242390036</v>
      </c>
      <c r="E6" t="s">
        <v>19</v>
      </c>
      <c r="F6" s="6" t="s">
        <v>56</v>
      </c>
      <c r="H6" t="s">
        <v>36</v>
      </c>
      <c r="I6" s="2">
        <v>44.206009781159082</v>
      </c>
    </row>
    <row r="7" spans="1:9">
      <c r="A7" t="s">
        <v>35</v>
      </c>
      <c r="B7" s="13">
        <v>-0.35470153115414649</v>
      </c>
      <c r="E7" s="5" t="s">
        <v>15</v>
      </c>
      <c r="F7" s="6"/>
      <c r="H7" t="s">
        <v>37</v>
      </c>
      <c r="I7" s="2">
        <v>12844.990827397576</v>
      </c>
    </row>
    <row r="8" spans="1:9">
      <c r="A8" s="5" t="s">
        <v>18</v>
      </c>
      <c r="B8" s="12"/>
      <c r="E8" t="s">
        <v>44</v>
      </c>
      <c r="F8" s="6" t="s">
        <v>57</v>
      </c>
      <c r="H8" t="s">
        <v>38</v>
      </c>
      <c r="I8" s="2">
        <v>16083.302056838036</v>
      </c>
    </row>
    <row r="9" spans="1:9">
      <c r="A9" t="s">
        <v>36</v>
      </c>
      <c r="B9" s="12">
        <v>44.206009781159082</v>
      </c>
      <c r="E9" t="s">
        <v>45</v>
      </c>
      <c r="F9" s="6" t="s">
        <v>25</v>
      </c>
      <c r="H9" t="s">
        <v>39</v>
      </c>
      <c r="I9" s="2">
        <v>19210.954231032349</v>
      </c>
    </row>
    <row r="10" spans="1:9">
      <c r="A10" t="s">
        <v>37</v>
      </c>
      <c r="B10" s="12">
        <v>12844.990827397576</v>
      </c>
      <c r="E10" t="s">
        <v>46</v>
      </c>
      <c r="F10" s="6" t="s">
        <v>2</v>
      </c>
      <c r="H10" t="s">
        <v>40</v>
      </c>
      <c r="I10" s="2">
        <v>24000</v>
      </c>
    </row>
    <row r="11" spans="1:9">
      <c r="A11" t="s">
        <v>38</v>
      </c>
      <c r="B11" s="12">
        <v>16083.302056838036</v>
      </c>
      <c r="E11" s="5" t="s">
        <v>18</v>
      </c>
    </row>
    <row r="12" spans="1:9">
      <c r="A12" t="s">
        <v>39</v>
      </c>
      <c r="B12" s="12">
        <v>19210.954231032349</v>
      </c>
    </row>
    <row r="13" spans="1:9">
      <c r="A13" t="s">
        <v>40</v>
      </c>
      <c r="B13" s="12">
        <v>24000</v>
      </c>
    </row>
    <row r="14" spans="1:9">
      <c r="B14" s="12"/>
    </row>
    <row r="15" spans="1:9">
      <c r="B15" s="12"/>
    </row>
    <row r="16" spans="1:9">
      <c r="A16" t="s">
        <v>41</v>
      </c>
      <c r="B16" s="12"/>
    </row>
    <row r="17" spans="1:6">
      <c r="B17" s="12" t="s">
        <v>2</v>
      </c>
    </row>
    <row r="18" spans="1:6">
      <c r="A18" s="10">
        <v>0</v>
      </c>
      <c r="B18" s="12">
        <v>44.206009781159082</v>
      </c>
    </row>
    <row r="19" spans="1:6">
      <c r="A19" s="10">
        <v>5.0000000000000001E-3</v>
      </c>
      <c r="B19" s="12">
        <v>2694.6966453238369</v>
      </c>
    </row>
    <row r="20" spans="1:6">
      <c r="A20" s="10">
        <v>0.01</v>
      </c>
      <c r="B20" s="12">
        <v>4357.5042426347227</v>
      </c>
    </row>
    <row r="21" spans="1:6">
      <c r="A21" s="10">
        <v>2.5000000000000001E-2</v>
      </c>
      <c r="B21" s="12">
        <v>6381.7605027649806</v>
      </c>
    </row>
    <row r="22" spans="1:6">
      <c r="A22" s="10">
        <v>0.05</v>
      </c>
      <c r="B22" s="12">
        <v>7971.1955779073151</v>
      </c>
    </row>
    <row r="23" spans="1:6">
      <c r="A23" s="10">
        <v>0.1</v>
      </c>
      <c r="B23" s="12">
        <v>9879.4225904579871</v>
      </c>
    </row>
    <row r="24" spans="1:6">
      <c r="A24" s="10">
        <v>0.15</v>
      </c>
      <c r="B24" s="12">
        <v>11042.667941739765</v>
      </c>
    </row>
    <row r="25" spans="1:6">
      <c r="A25" s="10">
        <v>0.2</v>
      </c>
      <c r="B25" s="12">
        <v>11942.263643593864</v>
      </c>
    </row>
    <row r="26" spans="1:6">
      <c r="A26" s="10">
        <v>0.25</v>
      </c>
      <c r="B26" s="12">
        <v>12844.990827397576</v>
      </c>
    </row>
    <row r="27" spans="1:6">
      <c r="A27" s="10">
        <v>0.3</v>
      </c>
      <c r="B27" s="12">
        <v>13592.928156912496</v>
      </c>
    </row>
    <row r="28" spans="1:6">
      <c r="A28" s="10">
        <v>0.35</v>
      </c>
      <c r="B28" s="12">
        <v>14228.360242747936</v>
      </c>
    </row>
    <row r="29" spans="1:6">
      <c r="A29" s="10">
        <v>0.4</v>
      </c>
      <c r="B29" s="12">
        <v>14838.500215141728</v>
      </c>
    </row>
    <row r="30" spans="1:6">
      <c r="A30" s="10">
        <v>0.45</v>
      </c>
      <c r="B30" s="12">
        <v>15439.219266183925</v>
      </c>
      <c r="E30" s="3" t="s">
        <v>47</v>
      </c>
      <c r="F30" s="3" t="s">
        <v>48</v>
      </c>
    </row>
    <row r="31" spans="1:6">
      <c r="A31" s="10">
        <v>0.5</v>
      </c>
      <c r="B31" s="12">
        <v>16083.302056838036</v>
      </c>
      <c r="E31" s="2">
        <v>0</v>
      </c>
      <c r="F31">
        <v>0</v>
      </c>
    </row>
    <row r="32" spans="1:6">
      <c r="A32" s="10">
        <v>0.55000000000000004</v>
      </c>
      <c r="B32" s="12">
        <v>16653.379664608718</v>
      </c>
      <c r="E32" s="2">
        <v>1000</v>
      </c>
      <c r="F32">
        <v>3</v>
      </c>
    </row>
    <row r="33" spans="1:6">
      <c r="A33" s="10">
        <v>0.6</v>
      </c>
      <c r="B33" s="12">
        <v>17306.868212672343</v>
      </c>
      <c r="E33" s="2">
        <v>2000</v>
      </c>
      <c r="F33">
        <v>7</v>
      </c>
    </row>
    <row r="34" spans="1:6">
      <c r="A34" s="10">
        <v>0.65</v>
      </c>
      <c r="B34" s="12">
        <v>17884.985005950592</v>
      </c>
      <c r="E34" s="2">
        <v>3000</v>
      </c>
      <c r="F34">
        <v>16</v>
      </c>
    </row>
    <row r="35" spans="1:6">
      <c r="A35" s="10">
        <v>0.7</v>
      </c>
      <c r="B35" s="12">
        <v>18521.745477028842</v>
      </c>
      <c r="E35" s="2">
        <v>4000</v>
      </c>
      <c r="F35">
        <v>15</v>
      </c>
    </row>
    <row r="36" spans="1:6">
      <c r="A36" s="10">
        <v>0.75</v>
      </c>
      <c r="B36" s="12">
        <v>19210.954231032349</v>
      </c>
      <c r="E36" s="2">
        <v>5000</v>
      </c>
      <c r="F36">
        <v>25</v>
      </c>
    </row>
    <row r="37" spans="1:6">
      <c r="A37" s="10">
        <v>0.8</v>
      </c>
      <c r="B37" s="12">
        <v>19923.877108775792</v>
      </c>
      <c r="E37" s="2">
        <v>6000</v>
      </c>
      <c r="F37">
        <v>39</v>
      </c>
    </row>
    <row r="38" spans="1:6">
      <c r="A38" s="10">
        <v>0.85</v>
      </c>
      <c r="B38" s="12">
        <v>20709.797761111808</v>
      </c>
      <c r="E38" s="2">
        <v>7000</v>
      </c>
      <c r="F38">
        <v>59</v>
      </c>
    </row>
    <row r="39" spans="1:6">
      <c r="A39" s="10">
        <v>0.9</v>
      </c>
      <c r="B39" s="12">
        <v>21599.21096272489</v>
      </c>
      <c r="E39" s="2">
        <v>8000</v>
      </c>
      <c r="F39">
        <v>92</v>
      </c>
    </row>
    <row r="40" spans="1:6">
      <c r="A40" s="10">
        <v>0.95</v>
      </c>
      <c r="B40" s="12">
        <v>22812.266711358076</v>
      </c>
      <c r="E40" s="2">
        <v>9000</v>
      </c>
      <c r="F40">
        <v>118</v>
      </c>
    </row>
    <row r="41" spans="1:6">
      <c r="A41" s="10">
        <v>0.97499999999999998</v>
      </c>
      <c r="B41" s="12">
        <v>23925.921827625491</v>
      </c>
      <c r="E41" s="2">
        <v>10000</v>
      </c>
      <c r="F41">
        <v>151</v>
      </c>
    </row>
    <row r="42" spans="1:6">
      <c r="A42" s="10">
        <v>0.99</v>
      </c>
      <c r="B42" s="12">
        <v>24000</v>
      </c>
      <c r="E42" s="2">
        <v>11000</v>
      </c>
      <c r="F42">
        <v>216</v>
      </c>
    </row>
    <row r="43" spans="1:6">
      <c r="A43" s="10">
        <v>0.995</v>
      </c>
      <c r="B43" s="12">
        <v>24000</v>
      </c>
      <c r="E43" s="2">
        <v>12000</v>
      </c>
      <c r="F43">
        <v>279</v>
      </c>
    </row>
    <row r="44" spans="1:6">
      <c r="A44" s="10">
        <v>1</v>
      </c>
      <c r="B44" s="12">
        <v>24000</v>
      </c>
      <c r="E44" s="2">
        <v>13000</v>
      </c>
      <c r="F44">
        <v>287</v>
      </c>
    </row>
    <row r="45" spans="1:6">
      <c r="E45" s="2">
        <v>14000</v>
      </c>
      <c r="F45">
        <v>355</v>
      </c>
    </row>
    <row r="46" spans="1:6">
      <c r="E46" s="2">
        <v>15000</v>
      </c>
      <c r="F46">
        <v>409</v>
      </c>
    </row>
    <row r="47" spans="1:6">
      <c r="E47" s="2">
        <v>16000</v>
      </c>
      <c r="F47">
        <v>397</v>
      </c>
    </row>
    <row r="48" spans="1:6">
      <c r="E48" s="2">
        <v>17000</v>
      </c>
      <c r="F48">
        <v>409</v>
      </c>
    </row>
    <row r="49" spans="5:6">
      <c r="E49" s="2">
        <v>18000</v>
      </c>
      <c r="F49">
        <v>416</v>
      </c>
    </row>
    <row r="50" spans="5:6">
      <c r="E50" s="2">
        <v>19000</v>
      </c>
      <c r="F50">
        <v>369</v>
      </c>
    </row>
    <row r="51" spans="5:6">
      <c r="E51" s="2">
        <v>20000</v>
      </c>
      <c r="F51">
        <v>368</v>
      </c>
    </row>
    <row r="52" spans="5:6">
      <c r="E52" s="2">
        <v>21000</v>
      </c>
      <c r="F52">
        <v>313</v>
      </c>
    </row>
    <row r="53" spans="5:6">
      <c r="E53" s="2">
        <v>22000</v>
      </c>
      <c r="F53">
        <v>249</v>
      </c>
    </row>
    <row r="54" spans="5:6">
      <c r="E54" s="2">
        <v>23000</v>
      </c>
      <c r="F54">
        <v>187</v>
      </c>
    </row>
    <row r="55" spans="5:6">
      <c r="E55" s="2">
        <v>24000</v>
      </c>
      <c r="F55">
        <v>221</v>
      </c>
    </row>
    <row r="56" spans="5:6">
      <c r="E56" s="2">
        <v>25000</v>
      </c>
      <c r="F56">
        <v>0</v>
      </c>
    </row>
    <row r="57" spans="5:6">
      <c r="E57" s="2">
        <v>26000</v>
      </c>
      <c r="F57">
        <v>0</v>
      </c>
    </row>
  </sheetData>
  <pageMargins left="0.7" right="0.7" top="0.75" bottom="0.75" header="0.3" footer="0.3"/>
  <pageSetup orientation="portrait" verticalDpi="300" r:id="rId1"/>
  <headerFooter>
    <oddHeader>&amp;L&amp;"Arial,Bold"SimVoi 313 Student Version&amp;R&amp;"Arial,Bold"Only For Students And Instructors</oddHeader>
    <oddFooter>&amp;L&amp;"Arial,Bold"Not For Commercial Use&amp;R&amp;"Arial,Bold"SimVoi.com</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64DC5-40EC-4944-B05B-C1EF16F45A69}">
  <sheetPr>
    <pageSetUpPr fitToPage="1"/>
  </sheetPr>
  <dimension ref="A1:I45"/>
  <sheetViews>
    <sheetView workbookViewId="0">
      <selection activeCell="C21" sqref="C21"/>
    </sheetView>
  </sheetViews>
  <sheetFormatPr defaultRowHeight="14.5"/>
  <cols>
    <col min="1" max="1" width="15.36328125" bestFit="1" customWidth="1"/>
    <col min="2" max="2" width="12.453125" bestFit="1" customWidth="1"/>
    <col min="5" max="5" width="10.453125" bestFit="1" customWidth="1"/>
    <col min="6" max="6" width="15.6328125" bestFit="1" customWidth="1"/>
    <col min="7" max="7" width="25.6328125" customWidth="1"/>
    <col min="8" max="8" width="13" bestFit="1" customWidth="1"/>
    <col min="9" max="9" width="12.453125" bestFit="1" customWidth="1"/>
  </cols>
  <sheetData>
    <row r="1" spans="1:9">
      <c r="A1" s="5" t="s">
        <v>31</v>
      </c>
      <c r="E1" s="5" t="s">
        <v>42</v>
      </c>
      <c r="H1" t="s">
        <v>32</v>
      </c>
      <c r="I1" s="2">
        <v>15784.900981787658</v>
      </c>
    </row>
    <row r="2" spans="1:9">
      <c r="A2" s="5" t="s">
        <v>15</v>
      </c>
      <c r="E2" t="s">
        <v>16</v>
      </c>
      <c r="F2" s="7">
        <v>45777</v>
      </c>
      <c r="H2" t="s">
        <v>33</v>
      </c>
      <c r="I2" s="2">
        <v>4660.0606107095555</v>
      </c>
    </row>
    <row r="3" spans="1:9">
      <c r="B3" s="3" t="s">
        <v>2</v>
      </c>
      <c r="E3" t="s">
        <v>17</v>
      </c>
      <c r="F3" s="8">
        <v>0.76079861111111113</v>
      </c>
      <c r="H3" t="s">
        <v>34</v>
      </c>
      <c r="I3" s="2">
        <v>65.903209171461015</v>
      </c>
    </row>
    <row r="4" spans="1:9">
      <c r="A4" t="s">
        <v>32</v>
      </c>
      <c r="B4" s="12">
        <v>15784.900981787658</v>
      </c>
      <c r="E4" t="s">
        <v>43</v>
      </c>
      <c r="F4" s="6">
        <v>5000</v>
      </c>
      <c r="H4" t="s">
        <v>35</v>
      </c>
      <c r="I4" s="11">
        <v>-0.24892704874215663</v>
      </c>
    </row>
    <row r="5" spans="1:9">
      <c r="A5" t="s">
        <v>33</v>
      </c>
      <c r="B5" s="12">
        <v>4660.0606107095555</v>
      </c>
      <c r="E5" t="s">
        <v>21</v>
      </c>
      <c r="F5" s="6">
        <v>792742643</v>
      </c>
      <c r="I5" s="2"/>
    </row>
    <row r="6" spans="1:9">
      <c r="A6" t="s">
        <v>34</v>
      </c>
      <c r="B6" s="12">
        <v>65.903209171461015</v>
      </c>
      <c r="E6" t="s">
        <v>19</v>
      </c>
      <c r="F6" s="6" t="s">
        <v>56</v>
      </c>
      <c r="H6" t="s">
        <v>36</v>
      </c>
      <c r="I6" s="2">
        <v>-1722.7229548382929</v>
      </c>
    </row>
    <row r="7" spans="1:9">
      <c r="A7" t="s">
        <v>35</v>
      </c>
      <c r="B7" s="13">
        <v>-0.24892704874215663</v>
      </c>
      <c r="E7" s="5" t="s">
        <v>15</v>
      </c>
      <c r="F7" s="6"/>
      <c r="H7" t="s">
        <v>37</v>
      </c>
      <c r="I7" s="2">
        <v>12641.989876640182</v>
      </c>
    </row>
    <row r="8" spans="1:9">
      <c r="A8" s="5" t="s">
        <v>18</v>
      </c>
      <c r="B8" s="12"/>
      <c r="E8" t="s">
        <v>44</v>
      </c>
      <c r="F8" s="6" t="s">
        <v>57</v>
      </c>
      <c r="H8" t="s">
        <v>38</v>
      </c>
      <c r="I8" s="2">
        <v>15925.610372023568</v>
      </c>
    </row>
    <row r="9" spans="1:9">
      <c r="A9" t="s">
        <v>36</v>
      </c>
      <c r="B9" s="12">
        <v>-1722.7229548382929</v>
      </c>
      <c r="E9" t="s">
        <v>45</v>
      </c>
      <c r="F9" s="6" t="s">
        <v>25</v>
      </c>
      <c r="H9" t="s">
        <v>39</v>
      </c>
      <c r="I9" s="2">
        <v>19173.757963185399</v>
      </c>
    </row>
    <row r="10" spans="1:9">
      <c r="A10" t="s">
        <v>37</v>
      </c>
      <c r="B10" s="12">
        <v>12641.989876640182</v>
      </c>
      <c r="E10" t="s">
        <v>46</v>
      </c>
      <c r="F10" s="6" t="s">
        <v>2</v>
      </c>
      <c r="H10" t="s">
        <v>40</v>
      </c>
      <c r="I10" s="2">
        <v>25500</v>
      </c>
    </row>
    <row r="11" spans="1:9">
      <c r="A11" t="s">
        <v>38</v>
      </c>
      <c r="B11" s="12">
        <v>15925.610372023568</v>
      </c>
      <c r="E11" s="5" t="s">
        <v>18</v>
      </c>
    </row>
    <row r="12" spans="1:9">
      <c r="A12" t="s">
        <v>39</v>
      </c>
      <c r="B12" s="12">
        <v>19173.757963185399</v>
      </c>
    </row>
    <row r="13" spans="1:9">
      <c r="A13" t="s">
        <v>40</v>
      </c>
      <c r="B13" s="12">
        <v>25500</v>
      </c>
    </row>
    <row r="14" spans="1:9">
      <c r="B14" s="12"/>
    </row>
    <row r="15" spans="1:9">
      <c r="B15" s="12"/>
    </row>
    <row r="16" spans="1:9">
      <c r="A16" t="s">
        <v>41</v>
      </c>
      <c r="B16" s="12"/>
    </row>
    <row r="17" spans="1:6">
      <c r="B17" s="12" t="s">
        <v>2</v>
      </c>
    </row>
    <row r="18" spans="1:6">
      <c r="A18" s="10">
        <v>0</v>
      </c>
      <c r="B18" s="12">
        <v>-1722.7229548382929</v>
      </c>
    </row>
    <row r="19" spans="1:6">
      <c r="A19" s="10">
        <v>5.0000000000000001E-3</v>
      </c>
      <c r="B19" s="12">
        <v>3010.2042497493126</v>
      </c>
    </row>
    <row r="20" spans="1:6">
      <c r="A20" s="10">
        <v>0.01</v>
      </c>
      <c r="B20" s="12">
        <v>4433.7340307955801</v>
      </c>
    </row>
    <row r="21" spans="1:6">
      <c r="A21" s="10">
        <v>2.5000000000000001E-2</v>
      </c>
      <c r="B21" s="12">
        <v>6233.6587634049783</v>
      </c>
    </row>
    <row r="22" spans="1:6">
      <c r="A22" s="10">
        <v>0.05</v>
      </c>
      <c r="B22" s="12">
        <v>7836.9592892753881</v>
      </c>
    </row>
    <row r="23" spans="1:6">
      <c r="A23" s="10">
        <v>0.1</v>
      </c>
      <c r="B23" s="12">
        <v>9668.3933739404147</v>
      </c>
    </row>
    <row r="24" spans="1:6">
      <c r="A24" s="10">
        <v>0.15</v>
      </c>
      <c r="B24" s="12">
        <v>10900.29521342915</v>
      </c>
    </row>
    <row r="25" spans="1:6">
      <c r="A25" s="10">
        <v>0.2</v>
      </c>
      <c r="B25" s="12">
        <v>11846.388343575009</v>
      </c>
    </row>
    <row r="26" spans="1:6">
      <c r="A26" s="10">
        <v>0.25</v>
      </c>
      <c r="B26" s="12">
        <v>12641.989876640182</v>
      </c>
    </row>
    <row r="27" spans="1:6">
      <c r="A27" s="10">
        <v>0.3</v>
      </c>
      <c r="B27" s="12">
        <v>13355.968237776195</v>
      </c>
    </row>
    <row r="28" spans="1:6">
      <c r="A28" s="10">
        <v>0.35</v>
      </c>
      <c r="B28" s="12">
        <v>14058.262799732998</v>
      </c>
    </row>
    <row r="29" spans="1:6">
      <c r="A29" s="10">
        <v>0.4</v>
      </c>
      <c r="B29" s="12">
        <v>14724.079189336251</v>
      </c>
    </row>
    <row r="30" spans="1:6">
      <c r="A30" s="10">
        <v>0.45</v>
      </c>
      <c r="B30" s="12">
        <v>15370.173095201479</v>
      </c>
      <c r="E30" s="3" t="s">
        <v>47</v>
      </c>
      <c r="F30" s="3" t="s">
        <v>48</v>
      </c>
    </row>
    <row r="31" spans="1:6">
      <c r="A31" s="10">
        <v>0.5</v>
      </c>
      <c r="B31" s="12">
        <v>15925.610372023568</v>
      </c>
      <c r="E31" s="2">
        <v>-5000</v>
      </c>
      <c r="F31">
        <v>0</v>
      </c>
    </row>
    <row r="32" spans="1:6">
      <c r="A32" s="10">
        <v>0.55000000000000004</v>
      </c>
      <c r="B32" s="12">
        <v>16514.559284258514</v>
      </c>
      <c r="E32" s="2">
        <v>-2500</v>
      </c>
      <c r="F32">
        <v>0</v>
      </c>
    </row>
    <row r="33" spans="1:6">
      <c r="A33" s="10">
        <v>0.6</v>
      </c>
      <c r="B33" s="12">
        <v>17116.245297864451</v>
      </c>
      <c r="E33" s="2">
        <v>0</v>
      </c>
      <c r="F33">
        <v>3</v>
      </c>
    </row>
    <row r="34" spans="1:6">
      <c r="A34" s="10">
        <v>0.65</v>
      </c>
      <c r="B34" s="12">
        <v>17777.405456596938</v>
      </c>
      <c r="E34" s="2">
        <v>2500</v>
      </c>
      <c r="F34">
        <v>19</v>
      </c>
    </row>
    <row r="35" spans="1:6">
      <c r="A35" s="10">
        <v>0.7</v>
      </c>
      <c r="B35" s="12">
        <v>18441.184765808513</v>
      </c>
      <c r="E35" s="2">
        <v>5000</v>
      </c>
      <c r="F35">
        <v>44</v>
      </c>
    </row>
    <row r="36" spans="1:6">
      <c r="A36" s="10">
        <v>0.75</v>
      </c>
      <c r="B36" s="12">
        <v>19173.757963185399</v>
      </c>
      <c r="E36" s="2">
        <v>7500</v>
      </c>
      <c r="F36">
        <v>149</v>
      </c>
    </row>
    <row r="37" spans="1:6">
      <c r="A37" s="10">
        <v>0.8</v>
      </c>
      <c r="B37" s="12">
        <v>19897.834957644682</v>
      </c>
      <c r="E37" s="2">
        <v>10000</v>
      </c>
      <c r="F37">
        <v>350</v>
      </c>
    </row>
    <row r="38" spans="1:6">
      <c r="A38" s="10">
        <v>0.85</v>
      </c>
      <c r="B38" s="12">
        <v>20808.733202392232</v>
      </c>
      <c r="E38" s="2">
        <v>12500</v>
      </c>
      <c r="F38">
        <v>650</v>
      </c>
    </row>
    <row r="39" spans="1:6">
      <c r="A39" s="10">
        <v>0.9</v>
      </c>
      <c r="B39" s="12">
        <v>21781.355935476702</v>
      </c>
      <c r="E39" s="2">
        <v>15000</v>
      </c>
      <c r="F39">
        <v>895</v>
      </c>
    </row>
    <row r="40" spans="1:6">
      <c r="A40" s="10">
        <v>0.95</v>
      </c>
      <c r="B40" s="12">
        <v>23122.916541145001</v>
      </c>
      <c r="E40" s="2">
        <v>17500</v>
      </c>
      <c r="F40">
        <v>1056</v>
      </c>
    </row>
    <row r="41" spans="1:6">
      <c r="A41" s="10">
        <v>0.97499999999999998</v>
      </c>
      <c r="B41" s="12">
        <v>24295.971069674812</v>
      </c>
      <c r="E41" s="2">
        <v>20000</v>
      </c>
      <c r="F41">
        <v>866</v>
      </c>
    </row>
    <row r="42" spans="1:6">
      <c r="A42" s="10">
        <v>0.99</v>
      </c>
      <c r="B42" s="12">
        <v>25458.836726285008</v>
      </c>
      <c r="E42" s="2">
        <v>22500</v>
      </c>
      <c r="F42">
        <v>608</v>
      </c>
    </row>
    <row r="43" spans="1:6">
      <c r="A43" s="10">
        <v>0.995</v>
      </c>
      <c r="B43" s="12">
        <v>25500</v>
      </c>
      <c r="E43" s="2">
        <v>25000</v>
      </c>
      <c r="F43">
        <v>282</v>
      </c>
    </row>
    <row r="44" spans="1:6">
      <c r="A44" s="10">
        <v>1</v>
      </c>
      <c r="B44" s="12">
        <v>25500</v>
      </c>
      <c r="E44" s="2">
        <v>27500</v>
      </c>
      <c r="F44">
        <v>78</v>
      </c>
    </row>
    <row r="45" spans="1:6">
      <c r="E45" s="2">
        <v>30000</v>
      </c>
      <c r="F45">
        <v>0</v>
      </c>
    </row>
  </sheetData>
  <pageMargins left="0.7" right="0.7" top="0.75" bottom="0.75" header="0.3" footer="0.3"/>
  <pageSetup orientation="portrait" verticalDpi="300" r:id="rId1"/>
  <headerFooter>
    <oddHeader>&amp;L&amp;"Arial,Bold"SimVoi 313 Student Version&amp;R&amp;"Arial,Bold"Only For Students And Instructors</oddHeader>
    <oddFooter>&amp;L&amp;"Arial,Bold"Not For Commercial Use&amp;R&amp;"Arial,Bold"SimVoi.com</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0E458-0CD7-4F5F-9273-8F3CAA6910B5}">
  <sheetPr>
    <pageSetUpPr fitToPage="1"/>
  </sheetPr>
  <dimension ref="A1:I45"/>
  <sheetViews>
    <sheetView workbookViewId="0">
      <selection activeCell="B4" sqref="B4"/>
    </sheetView>
  </sheetViews>
  <sheetFormatPr defaultRowHeight="14.5"/>
  <cols>
    <col min="1" max="1" width="15.36328125" bestFit="1" customWidth="1"/>
    <col min="2" max="2" width="12.453125" bestFit="1" customWidth="1"/>
    <col min="5" max="5" width="10.453125" bestFit="1" customWidth="1"/>
    <col min="6" max="6" width="15.6328125" bestFit="1" customWidth="1"/>
    <col min="7" max="7" width="25.6328125" customWidth="1"/>
    <col min="8" max="8" width="13" bestFit="1" customWidth="1"/>
    <col min="9" max="9" width="12.453125" bestFit="1" customWidth="1"/>
  </cols>
  <sheetData>
    <row r="1" spans="1:9">
      <c r="A1" s="5" t="s">
        <v>31</v>
      </c>
      <c r="E1" s="5" t="s">
        <v>42</v>
      </c>
      <c r="H1" t="s">
        <v>32</v>
      </c>
      <c r="I1" s="2">
        <v>15722.274471223605</v>
      </c>
    </row>
    <row r="2" spans="1:9">
      <c r="A2" s="5" t="s">
        <v>15</v>
      </c>
      <c r="E2" t="s">
        <v>16</v>
      </c>
      <c r="F2" s="7">
        <v>45777</v>
      </c>
      <c r="H2" t="s">
        <v>33</v>
      </c>
      <c r="I2" s="2">
        <v>4737.9353563216764</v>
      </c>
    </row>
    <row r="3" spans="1:9">
      <c r="B3" s="3" t="s">
        <v>2</v>
      </c>
      <c r="E3" t="s">
        <v>17</v>
      </c>
      <c r="F3" s="8">
        <v>0.75236111111111115</v>
      </c>
      <c r="H3" t="s">
        <v>34</v>
      </c>
      <c r="I3" s="2">
        <v>67.004524385571173</v>
      </c>
    </row>
    <row r="4" spans="1:9">
      <c r="A4" t="s">
        <v>32</v>
      </c>
      <c r="B4" s="12">
        <v>15722.274471223605</v>
      </c>
      <c r="E4" t="s">
        <v>43</v>
      </c>
      <c r="F4" s="6">
        <v>5000</v>
      </c>
      <c r="H4" t="s">
        <v>35</v>
      </c>
      <c r="I4" s="11">
        <v>-0.15104359218905078</v>
      </c>
    </row>
    <row r="5" spans="1:9">
      <c r="A5" t="s">
        <v>33</v>
      </c>
      <c r="B5" s="12">
        <v>4737.9353563216764</v>
      </c>
      <c r="E5" t="s">
        <v>21</v>
      </c>
      <c r="F5" s="6">
        <v>1060955643</v>
      </c>
      <c r="I5" s="2"/>
    </row>
    <row r="6" spans="1:9">
      <c r="A6" t="s">
        <v>34</v>
      </c>
      <c r="B6" s="12">
        <v>67.004524385571173</v>
      </c>
      <c r="E6" t="s">
        <v>19</v>
      </c>
      <c r="F6" s="6" t="s">
        <v>56</v>
      </c>
      <c r="H6" t="s">
        <v>36</v>
      </c>
      <c r="I6" s="2">
        <v>-4052.1271560629757</v>
      </c>
    </row>
    <row r="7" spans="1:9">
      <c r="A7" t="s">
        <v>35</v>
      </c>
      <c r="B7" s="13">
        <v>-0.15104359218905078</v>
      </c>
      <c r="E7" s="5" t="s">
        <v>15</v>
      </c>
      <c r="F7" s="6"/>
      <c r="H7" t="s">
        <v>37</v>
      </c>
      <c r="I7" s="2">
        <v>12398.857331992062</v>
      </c>
    </row>
    <row r="8" spans="1:9">
      <c r="A8" s="5" t="s">
        <v>18</v>
      </c>
      <c r="B8" s="12"/>
      <c r="E8" t="s">
        <v>44</v>
      </c>
      <c r="F8" s="6" t="s">
        <v>57</v>
      </c>
      <c r="H8" t="s">
        <v>38</v>
      </c>
      <c r="I8" s="2">
        <v>15826.063542436961</v>
      </c>
    </row>
    <row r="9" spans="1:9">
      <c r="A9" t="s">
        <v>36</v>
      </c>
      <c r="B9" s="12">
        <v>-4052.1271560629757</v>
      </c>
      <c r="E9" t="s">
        <v>45</v>
      </c>
      <c r="F9" s="6" t="s">
        <v>25</v>
      </c>
      <c r="H9" t="s">
        <v>39</v>
      </c>
      <c r="I9" s="2">
        <v>19055.637271113319</v>
      </c>
    </row>
    <row r="10" spans="1:9">
      <c r="A10" t="s">
        <v>37</v>
      </c>
      <c r="B10" s="12">
        <v>12398.857331992062</v>
      </c>
      <c r="E10" t="s">
        <v>46</v>
      </c>
      <c r="F10" s="6" t="s">
        <v>2</v>
      </c>
      <c r="H10" t="s">
        <v>40</v>
      </c>
      <c r="I10" s="2">
        <v>27000</v>
      </c>
    </row>
    <row r="11" spans="1:9">
      <c r="A11" t="s">
        <v>38</v>
      </c>
      <c r="B11" s="12">
        <v>15826.063542436961</v>
      </c>
      <c r="E11" s="5" t="s">
        <v>18</v>
      </c>
    </row>
    <row r="12" spans="1:9">
      <c r="A12" t="s">
        <v>39</v>
      </c>
      <c r="B12" s="12">
        <v>19055.637271113319</v>
      </c>
    </row>
    <row r="13" spans="1:9">
      <c r="A13" t="s">
        <v>40</v>
      </c>
      <c r="B13" s="12">
        <v>27000</v>
      </c>
    </row>
    <row r="14" spans="1:9">
      <c r="B14" s="12"/>
    </row>
    <row r="15" spans="1:9">
      <c r="B15" s="12"/>
    </row>
    <row r="16" spans="1:9">
      <c r="A16" t="s">
        <v>41</v>
      </c>
      <c r="B16" s="12"/>
    </row>
    <row r="17" spans="1:6">
      <c r="B17" s="12" t="s">
        <v>2</v>
      </c>
    </row>
    <row r="18" spans="1:6">
      <c r="A18" s="10">
        <v>0</v>
      </c>
      <c r="B18" s="12">
        <v>-4052.1271560629757</v>
      </c>
    </row>
    <row r="19" spans="1:6">
      <c r="A19" s="10">
        <v>5.0000000000000001E-3</v>
      </c>
      <c r="B19" s="12">
        <v>3409.1150376687092</v>
      </c>
    </row>
    <row r="20" spans="1:6">
      <c r="A20" s="10">
        <v>0.01</v>
      </c>
      <c r="B20" s="12">
        <v>4350.3219142608641</v>
      </c>
    </row>
    <row r="21" spans="1:6">
      <c r="A21" s="10">
        <v>2.5000000000000001E-2</v>
      </c>
      <c r="B21" s="12">
        <v>6166.1320925037635</v>
      </c>
    </row>
    <row r="22" spans="1:6">
      <c r="A22" s="10">
        <v>0.05</v>
      </c>
      <c r="B22" s="12">
        <v>7752.7682279744195</v>
      </c>
    </row>
    <row r="23" spans="1:6">
      <c r="A23" s="10">
        <v>0.1</v>
      </c>
      <c r="B23" s="12">
        <v>9577.8627245127645</v>
      </c>
    </row>
    <row r="24" spans="1:6">
      <c r="A24" s="10">
        <v>0.15</v>
      </c>
      <c r="B24" s="12">
        <v>10832.73757982284</v>
      </c>
    </row>
    <row r="25" spans="1:6">
      <c r="A25" s="10">
        <v>0.2</v>
      </c>
      <c r="B25" s="12">
        <v>11675.202563989309</v>
      </c>
    </row>
    <row r="26" spans="1:6">
      <c r="A26" s="10">
        <v>0.25</v>
      </c>
      <c r="B26" s="12">
        <v>12398.857331992062</v>
      </c>
    </row>
    <row r="27" spans="1:6">
      <c r="A27" s="10">
        <v>0.3</v>
      </c>
      <c r="B27" s="12">
        <v>13133.010516816461</v>
      </c>
    </row>
    <row r="28" spans="1:6">
      <c r="A28" s="10">
        <v>0.35</v>
      </c>
      <c r="B28" s="12">
        <v>13889.83539004313</v>
      </c>
    </row>
    <row r="29" spans="1:6">
      <c r="A29" s="10">
        <v>0.4</v>
      </c>
      <c r="B29" s="12">
        <v>14574.517734475832</v>
      </c>
    </row>
    <row r="30" spans="1:6">
      <c r="A30" s="10">
        <v>0.45</v>
      </c>
      <c r="B30" s="12">
        <v>15229.620032156383</v>
      </c>
      <c r="E30" s="3" t="s">
        <v>47</v>
      </c>
      <c r="F30" s="3" t="s">
        <v>48</v>
      </c>
    </row>
    <row r="31" spans="1:6">
      <c r="A31" s="10">
        <v>0.5</v>
      </c>
      <c r="B31" s="12">
        <v>15826.063542436961</v>
      </c>
      <c r="E31" s="2">
        <v>-5000</v>
      </c>
      <c r="F31">
        <v>0</v>
      </c>
    </row>
    <row r="32" spans="1:6">
      <c r="A32" s="10">
        <v>0.55000000000000004</v>
      </c>
      <c r="B32" s="12">
        <v>16431.302682730577</v>
      </c>
      <c r="E32" s="2">
        <v>-2500</v>
      </c>
      <c r="F32">
        <v>1</v>
      </c>
    </row>
    <row r="33" spans="1:6">
      <c r="A33" s="10">
        <v>0.6</v>
      </c>
      <c r="B33" s="12">
        <v>17012.942318859146</v>
      </c>
      <c r="E33" s="2">
        <v>0</v>
      </c>
      <c r="F33">
        <v>2</v>
      </c>
    </row>
    <row r="34" spans="1:6">
      <c r="A34" s="10">
        <v>0.65</v>
      </c>
      <c r="B34" s="12">
        <v>17669.71505763747</v>
      </c>
      <c r="E34" s="2">
        <v>2500</v>
      </c>
      <c r="F34">
        <v>12</v>
      </c>
    </row>
    <row r="35" spans="1:6">
      <c r="A35" s="10">
        <v>0.7</v>
      </c>
      <c r="B35" s="12">
        <v>18335.305808552781</v>
      </c>
      <c r="E35" s="2">
        <v>5000</v>
      </c>
      <c r="F35">
        <v>58</v>
      </c>
    </row>
    <row r="36" spans="1:6">
      <c r="A36" s="10">
        <v>0.75</v>
      </c>
      <c r="B36" s="12">
        <v>19055.637271113319</v>
      </c>
      <c r="E36" s="2">
        <v>7500</v>
      </c>
      <c r="F36">
        <v>150</v>
      </c>
    </row>
    <row r="37" spans="1:6">
      <c r="A37" s="10">
        <v>0.8</v>
      </c>
      <c r="B37" s="12">
        <v>19857.280858490918</v>
      </c>
      <c r="E37" s="2">
        <v>10000</v>
      </c>
      <c r="F37">
        <v>356</v>
      </c>
    </row>
    <row r="38" spans="1:6">
      <c r="A38" s="10">
        <v>0.85</v>
      </c>
      <c r="B38" s="12">
        <v>20835.931505766177</v>
      </c>
      <c r="E38" s="2">
        <v>12500</v>
      </c>
      <c r="F38">
        <v>705</v>
      </c>
    </row>
    <row r="39" spans="1:6">
      <c r="A39" s="10">
        <v>0.9</v>
      </c>
      <c r="B39" s="12">
        <v>21973.126112544258</v>
      </c>
      <c r="E39" s="2">
        <v>15000</v>
      </c>
      <c r="F39">
        <v>883</v>
      </c>
    </row>
    <row r="40" spans="1:6">
      <c r="A40" s="10">
        <v>0.95</v>
      </c>
      <c r="B40" s="12">
        <v>23431.971198437011</v>
      </c>
      <c r="E40" s="2">
        <v>17500</v>
      </c>
      <c r="F40">
        <v>1022</v>
      </c>
    </row>
    <row r="41" spans="1:6">
      <c r="A41" s="10">
        <v>0.97499999999999998</v>
      </c>
      <c r="B41" s="12">
        <v>24582.903656885006</v>
      </c>
      <c r="E41" s="2">
        <v>20000</v>
      </c>
      <c r="F41">
        <v>849</v>
      </c>
    </row>
    <row r="42" spans="1:6">
      <c r="A42" s="10">
        <v>0.99</v>
      </c>
      <c r="B42" s="12">
        <v>25610.167131679129</v>
      </c>
      <c r="E42" s="2">
        <v>22500</v>
      </c>
      <c r="F42">
        <v>566</v>
      </c>
    </row>
    <row r="43" spans="1:6">
      <c r="A43" s="10">
        <v>0.995</v>
      </c>
      <c r="B43" s="12">
        <v>26285.224777873831</v>
      </c>
      <c r="E43" s="2">
        <v>25000</v>
      </c>
      <c r="F43">
        <v>309</v>
      </c>
    </row>
    <row r="44" spans="1:6">
      <c r="A44" s="10">
        <v>1</v>
      </c>
      <c r="B44" s="12">
        <v>27000</v>
      </c>
      <c r="E44" s="2">
        <v>27500</v>
      </c>
      <c r="F44">
        <v>87</v>
      </c>
    </row>
    <row r="45" spans="1:6">
      <c r="E45" s="2">
        <v>30000</v>
      </c>
      <c r="F45">
        <v>0</v>
      </c>
    </row>
  </sheetData>
  <pageMargins left="0.7" right="0.7" top="0.75" bottom="0.75" header="0.3" footer="0.3"/>
  <pageSetup orientation="portrait" verticalDpi="300" r:id="rId1"/>
  <headerFooter>
    <oddHeader>&amp;L&amp;"Arial,Bold"SimVoi 313 Student Version&amp;R&amp;"Arial,Bold"Only For Students And Instructors</oddHeader>
    <oddFooter>&amp;L&amp;"Arial,Bold"Not For Commercial Use&amp;R&amp;"Arial,Bold"SimVoi.com</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F4A8E-7853-44AD-980E-40C7CD452C94}">
  <sheetPr>
    <pageSetUpPr fitToPage="1"/>
  </sheetPr>
  <dimension ref="A1:I45"/>
  <sheetViews>
    <sheetView workbookViewId="0">
      <selection activeCell="B4" sqref="B4"/>
    </sheetView>
  </sheetViews>
  <sheetFormatPr defaultRowHeight="14.5"/>
  <cols>
    <col min="1" max="1" width="15.36328125" bestFit="1" customWidth="1"/>
    <col min="2" max="2" width="12.453125" bestFit="1" customWidth="1"/>
    <col min="5" max="5" width="10.453125" bestFit="1" customWidth="1"/>
    <col min="6" max="6" width="15.6328125" bestFit="1" customWidth="1"/>
    <col min="7" max="7" width="25.6328125" customWidth="1"/>
    <col min="8" max="8" width="13" bestFit="1" customWidth="1"/>
    <col min="9" max="9" width="12.453125" bestFit="1" customWidth="1"/>
  </cols>
  <sheetData>
    <row r="1" spans="1:9">
      <c r="A1" s="5" t="s">
        <v>31</v>
      </c>
      <c r="E1" s="5" t="s">
        <v>42</v>
      </c>
      <c r="H1" t="s">
        <v>32</v>
      </c>
      <c r="I1" s="2">
        <v>15637.748241301009</v>
      </c>
    </row>
    <row r="2" spans="1:9">
      <c r="A2" s="5" t="s">
        <v>15</v>
      </c>
      <c r="E2" t="s">
        <v>16</v>
      </c>
      <c r="F2" s="7">
        <v>45777</v>
      </c>
      <c r="H2" t="s">
        <v>33</v>
      </c>
      <c r="I2" s="2">
        <v>4873.8017301595428</v>
      </c>
    </row>
    <row r="3" spans="1:9">
      <c r="B3" s="3" t="s">
        <v>2</v>
      </c>
      <c r="E3" t="s">
        <v>17</v>
      </c>
      <c r="F3" s="8">
        <v>0.75274305555555554</v>
      </c>
      <c r="H3" t="s">
        <v>34</v>
      </c>
      <c r="I3" s="2">
        <v>68.925965071090815</v>
      </c>
    </row>
    <row r="4" spans="1:9">
      <c r="A4" t="s">
        <v>32</v>
      </c>
      <c r="B4" s="12">
        <v>15637.748241301009</v>
      </c>
      <c r="E4" t="s">
        <v>43</v>
      </c>
      <c r="F4" s="6">
        <v>5000</v>
      </c>
      <c r="H4" t="s">
        <v>35</v>
      </c>
      <c r="I4" s="11">
        <v>-0.12066573919902691</v>
      </c>
    </row>
    <row r="5" spans="1:9">
      <c r="A5" t="s">
        <v>33</v>
      </c>
      <c r="B5" s="12">
        <v>4873.8017301595428</v>
      </c>
      <c r="E5" t="s">
        <v>21</v>
      </c>
      <c r="F5" s="6">
        <v>1704900673</v>
      </c>
      <c r="I5" s="2"/>
    </row>
    <row r="6" spans="1:9">
      <c r="A6" t="s">
        <v>34</v>
      </c>
      <c r="B6" s="12">
        <v>68.925965071090815</v>
      </c>
      <c r="E6" t="s">
        <v>19</v>
      </c>
      <c r="F6" s="6" t="s">
        <v>56</v>
      </c>
      <c r="H6" t="s">
        <v>36</v>
      </c>
      <c r="I6" s="2">
        <v>-3343.3131334182817</v>
      </c>
    </row>
    <row r="7" spans="1:9">
      <c r="A7" t="s">
        <v>35</v>
      </c>
      <c r="B7" s="13">
        <v>-0.12066573919902691</v>
      </c>
      <c r="E7" s="5" t="s">
        <v>15</v>
      </c>
      <c r="F7" s="6"/>
      <c r="H7" t="s">
        <v>37</v>
      </c>
      <c r="I7" s="2">
        <v>12480.233993975158</v>
      </c>
    </row>
    <row r="8" spans="1:9">
      <c r="A8" s="5" t="s">
        <v>18</v>
      </c>
      <c r="B8" s="12"/>
      <c r="E8" t="s">
        <v>44</v>
      </c>
      <c r="F8" s="6" t="s">
        <v>57</v>
      </c>
      <c r="H8" t="s">
        <v>38</v>
      </c>
      <c r="I8" s="2">
        <v>15663.964287011211</v>
      </c>
    </row>
    <row r="9" spans="1:9">
      <c r="A9" t="s">
        <v>36</v>
      </c>
      <c r="B9" s="12">
        <v>-3343.3131334182817</v>
      </c>
      <c r="E9" t="s">
        <v>45</v>
      </c>
      <c r="F9" s="6" t="s">
        <v>25</v>
      </c>
      <c r="H9" t="s">
        <v>39</v>
      </c>
      <c r="I9" s="2">
        <v>18976.084228148855</v>
      </c>
    </row>
    <row r="10" spans="1:9">
      <c r="A10" t="s">
        <v>37</v>
      </c>
      <c r="B10" s="12">
        <v>12480.233993975158</v>
      </c>
      <c r="E10" t="s">
        <v>46</v>
      </c>
      <c r="F10" s="6" t="s">
        <v>2</v>
      </c>
      <c r="H10" t="s">
        <v>40</v>
      </c>
      <c r="I10" s="2">
        <v>28500</v>
      </c>
    </row>
    <row r="11" spans="1:9">
      <c r="A11" t="s">
        <v>38</v>
      </c>
      <c r="B11" s="12">
        <v>15663.964287011211</v>
      </c>
      <c r="E11" s="5" t="s">
        <v>18</v>
      </c>
    </row>
    <row r="12" spans="1:9">
      <c r="A12" t="s">
        <v>39</v>
      </c>
      <c r="B12" s="12">
        <v>18976.084228148855</v>
      </c>
    </row>
    <row r="13" spans="1:9">
      <c r="A13" t="s">
        <v>40</v>
      </c>
      <c r="B13" s="12">
        <v>28500</v>
      </c>
    </row>
    <row r="14" spans="1:9">
      <c r="B14" s="12"/>
    </row>
    <row r="15" spans="1:9">
      <c r="B15" s="12"/>
    </row>
    <row r="16" spans="1:9">
      <c r="A16" t="s">
        <v>41</v>
      </c>
      <c r="B16" s="12"/>
    </row>
    <row r="17" spans="1:6">
      <c r="B17" s="12" t="s">
        <v>2</v>
      </c>
    </row>
    <row r="18" spans="1:6">
      <c r="A18" s="10">
        <v>0</v>
      </c>
      <c r="B18" s="12">
        <v>-3343.3131334182817</v>
      </c>
    </row>
    <row r="19" spans="1:6">
      <c r="A19" s="10">
        <v>5.0000000000000001E-3</v>
      </c>
      <c r="B19" s="12">
        <v>3110.4913816016519</v>
      </c>
    </row>
    <row r="20" spans="1:6">
      <c r="A20" s="10">
        <v>0.01</v>
      </c>
      <c r="B20" s="12">
        <v>3957.8159723854437</v>
      </c>
    </row>
    <row r="21" spans="1:6">
      <c r="A21" s="10">
        <v>2.5000000000000001E-2</v>
      </c>
      <c r="B21" s="12">
        <v>5874.6282139234618</v>
      </c>
    </row>
    <row r="22" spans="1:6">
      <c r="A22" s="10">
        <v>0.05</v>
      </c>
      <c r="B22" s="12">
        <v>7519.757394582125</v>
      </c>
    </row>
    <row r="23" spans="1:6">
      <c r="A23" s="10">
        <v>0.1</v>
      </c>
      <c r="B23" s="12">
        <v>9227.2184928614588</v>
      </c>
    </row>
    <row r="24" spans="1:6">
      <c r="A24" s="10">
        <v>0.15</v>
      </c>
      <c r="B24" s="12">
        <v>10521.848756661293</v>
      </c>
    </row>
    <row r="25" spans="1:6">
      <c r="A25" s="10">
        <v>0.2</v>
      </c>
      <c r="B25" s="12">
        <v>11512.364866249254</v>
      </c>
    </row>
    <row r="26" spans="1:6">
      <c r="A26" s="10">
        <v>0.25</v>
      </c>
      <c r="B26" s="12">
        <v>12480.233993975158</v>
      </c>
    </row>
    <row r="27" spans="1:6">
      <c r="A27" s="10">
        <v>0.3</v>
      </c>
      <c r="B27" s="12">
        <v>13131.227930865862</v>
      </c>
    </row>
    <row r="28" spans="1:6">
      <c r="A28" s="10">
        <v>0.35</v>
      </c>
      <c r="B28" s="12">
        <v>13851.718089621332</v>
      </c>
    </row>
    <row r="29" spans="1:6">
      <c r="A29" s="10">
        <v>0.4</v>
      </c>
      <c r="B29" s="12">
        <v>14456.861376822928</v>
      </c>
    </row>
    <row r="30" spans="1:6">
      <c r="A30" s="10">
        <v>0.45</v>
      </c>
      <c r="B30" s="12">
        <v>15076.489245564524</v>
      </c>
      <c r="E30" s="3" t="s">
        <v>47</v>
      </c>
      <c r="F30" s="3" t="s">
        <v>48</v>
      </c>
    </row>
    <row r="31" spans="1:6">
      <c r="A31" s="10">
        <v>0.5</v>
      </c>
      <c r="B31" s="12">
        <v>15663.964287011211</v>
      </c>
      <c r="E31" s="2">
        <v>-5000</v>
      </c>
      <c r="F31">
        <v>0</v>
      </c>
    </row>
    <row r="32" spans="1:6">
      <c r="A32" s="10">
        <v>0.55000000000000004</v>
      </c>
      <c r="B32" s="12">
        <v>16292.906230912269</v>
      </c>
      <c r="E32" s="2">
        <v>-2500</v>
      </c>
      <c r="F32">
        <v>1</v>
      </c>
    </row>
    <row r="33" spans="1:6">
      <c r="A33" s="10">
        <v>0.6</v>
      </c>
      <c r="B33" s="12">
        <v>16911.310052266883</v>
      </c>
      <c r="E33" s="2">
        <v>0</v>
      </c>
      <c r="F33">
        <v>4</v>
      </c>
    </row>
    <row r="34" spans="1:6">
      <c r="A34" s="10">
        <v>0.65</v>
      </c>
      <c r="B34" s="12">
        <v>17600.002672046339</v>
      </c>
      <c r="E34" s="2">
        <v>2500</v>
      </c>
      <c r="F34">
        <v>15</v>
      </c>
    </row>
    <row r="35" spans="1:6">
      <c r="A35" s="10">
        <v>0.7</v>
      </c>
      <c r="B35" s="12">
        <v>18284.1358028506</v>
      </c>
      <c r="E35" s="2">
        <v>5000</v>
      </c>
      <c r="F35">
        <v>62</v>
      </c>
    </row>
    <row r="36" spans="1:6">
      <c r="A36" s="10">
        <v>0.75</v>
      </c>
      <c r="B36" s="12">
        <v>18976.084228148855</v>
      </c>
      <c r="E36" s="2">
        <v>7500</v>
      </c>
      <c r="F36">
        <v>165</v>
      </c>
    </row>
    <row r="37" spans="1:6">
      <c r="A37" s="10">
        <v>0.8</v>
      </c>
      <c r="B37" s="12">
        <v>19787.538944646079</v>
      </c>
      <c r="E37" s="2">
        <v>10000</v>
      </c>
      <c r="F37">
        <v>402</v>
      </c>
    </row>
    <row r="38" spans="1:6">
      <c r="A38" s="10">
        <v>0.85</v>
      </c>
      <c r="B38" s="12">
        <v>20797.021723380989</v>
      </c>
      <c r="E38" s="2">
        <v>12500</v>
      </c>
      <c r="F38">
        <v>609</v>
      </c>
    </row>
    <row r="39" spans="1:6">
      <c r="A39" s="10">
        <v>0.9</v>
      </c>
      <c r="B39" s="12">
        <v>22010.569295993209</v>
      </c>
      <c r="E39" s="2">
        <v>15000</v>
      </c>
      <c r="F39">
        <v>962</v>
      </c>
    </row>
    <row r="40" spans="1:6">
      <c r="A40" s="10">
        <v>0.95</v>
      </c>
      <c r="B40" s="12">
        <v>23558.950896365812</v>
      </c>
      <c r="E40" s="2">
        <v>17500</v>
      </c>
      <c r="F40">
        <v>997</v>
      </c>
    </row>
    <row r="41" spans="1:6">
      <c r="A41" s="10">
        <v>0.97499999999999998</v>
      </c>
      <c r="B41" s="12">
        <v>24908.113605451286</v>
      </c>
      <c r="E41" s="2">
        <v>20000</v>
      </c>
      <c r="F41">
        <v>840</v>
      </c>
    </row>
    <row r="42" spans="1:6">
      <c r="A42" s="10">
        <v>0.99</v>
      </c>
      <c r="B42" s="12">
        <v>26272.88986707203</v>
      </c>
      <c r="E42" s="2">
        <v>22500</v>
      </c>
      <c r="F42">
        <v>527</v>
      </c>
    </row>
    <row r="43" spans="1:6">
      <c r="A43" s="10">
        <v>0.995</v>
      </c>
      <c r="B43" s="12">
        <v>26783.186380897074</v>
      </c>
      <c r="E43" s="2">
        <v>25000</v>
      </c>
      <c r="F43">
        <v>301</v>
      </c>
    </row>
    <row r="44" spans="1:6">
      <c r="A44" s="10">
        <v>1</v>
      </c>
      <c r="B44" s="12">
        <v>28500</v>
      </c>
      <c r="E44" s="2">
        <v>27500</v>
      </c>
      <c r="F44">
        <v>100</v>
      </c>
    </row>
    <row r="45" spans="1:6">
      <c r="E45" s="2">
        <v>30000</v>
      </c>
      <c r="F45">
        <v>15</v>
      </c>
    </row>
  </sheetData>
  <pageMargins left="0.7" right="0.7" top="0.75" bottom="0.75" header="0.3" footer="0.3"/>
  <pageSetup orientation="portrait" verticalDpi="300" r:id="rId1"/>
  <headerFooter>
    <oddHeader>&amp;L&amp;"Arial,Bold"SimVoi 313 Student Version&amp;R&amp;"Arial,Bold"Only For Students And Instructors</oddHeader>
    <oddFooter>&amp;L&amp;"Arial,Bold"Not For Commercial Use&amp;R&amp;"Arial,Bold"SimVoi.com</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DBFA8-F8FE-4581-9DBC-9796B56A272B}">
  <sheetPr>
    <pageSetUpPr fitToPage="1"/>
  </sheetPr>
  <dimension ref="A1:I47"/>
  <sheetViews>
    <sheetView workbookViewId="0">
      <selection activeCell="L21" sqref="L21"/>
    </sheetView>
  </sheetViews>
  <sheetFormatPr defaultRowHeight="14.5"/>
  <cols>
    <col min="1" max="1" width="15.36328125" bestFit="1" customWidth="1"/>
    <col min="2" max="2" width="12.453125" bestFit="1" customWidth="1"/>
    <col min="5" max="5" width="10.453125" bestFit="1" customWidth="1"/>
    <col min="6" max="6" width="15.6328125" bestFit="1" customWidth="1"/>
    <col min="7" max="7" width="25.6328125" customWidth="1"/>
    <col min="8" max="8" width="13" bestFit="1" customWidth="1"/>
    <col min="9" max="9" width="12.453125" bestFit="1" customWidth="1"/>
  </cols>
  <sheetData>
    <row r="1" spans="1:9">
      <c r="A1" s="5" t="s">
        <v>31</v>
      </c>
      <c r="E1" s="5" t="s">
        <v>42</v>
      </c>
      <c r="H1" t="s">
        <v>32</v>
      </c>
      <c r="I1" s="2">
        <v>15533.297398464296</v>
      </c>
    </row>
    <row r="2" spans="1:9">
      <c r="A2" s="5" t="s">
        <v>15</v>
      </c>
      <c r="E2" t="s">
        <v>16</v>
      </c>
      <c r="F2" s="7">
        <v>45777</v>
      </c>
      <c r="H2" t="s">
        <v>33</v>
      </c>
      <c r="I2" s="2">
        <v>4884.1806004291029</v>
      </c>
    </row>
    <row r="3" spans="1:9">
      <c r="B3" s="3" t="s">
        <v>2</v>
      </c>
      <c r="E3" t="s">
        <v>17</v>
      </c>
      <c r="F3" s="8">
        <v>0.76171296296296298</v>
      </c>
      <c r="H3" t="s">
        <v>34</v>
      </c>
      <c r="I3" s="2">
        <v>69.072744462064037</v>
      </c>
    </row>
    <row r="4" spans="1:9">
      <c r="A4" t="s">
        <v>32</v>
      </c>
      <c r="B4" s="12">
        <v>15533.297398464296</v>
      </c>
      <c r="E4" t="s">
        <v>43</v>
      </c>
      <c r="F4" s="6">
        <v>5000</v>
      </c>
      <c r="H4" t="s">
        <v>35</v>
      </c>
      <c r="I4" s="11">
        <v>-8.1442407589112087E-2</v>
      </c>
    </row>
    <row r="5" spans="1:9">
      <c r="A5" t="s">
        <v>33</v>
      </c>
      <c r="B5" s="12">
        <v>4884.1806004291029</v>
      </c>
      <c r="E5" t="s">
        <v>21</v>
      </c>
      <c r="F5" s="6">
        <v>186602402</v>
      </c>
      <c r="I5" s="2"/>
    </row>
    <row r="6" spans="1:9">
      <c r="A6" t="s">
        <v>34</v>
      </c>
      <c r="B6" s="12">
        <v>69.072744462064037</v>
      </c>
      <c r="E6" t="s">
        <v>19</v>
      </c>
      <c r="F6" s="6" t="s">
        <v>56</v>
      </c>
      <c r="H6" t="s">
        <v>36</v>
      </c>
      <c r="I6" s="2">
        <v>-1833.0603180253747</v>
      </c>
    </row>
    <row r="7" spans="1:9">
      <c r="A7" t="s">
        <v>35</v>
      </c>
      <c r="B7" s="13">
        <v>-8.1442407589112087E-2</v>
      </c>
      <c r="E7" s="5" t="s">
        <v>15</v>
      </c>
      <c r="F7" s="6"/>
      <c r="H7" t="s">
        <v>37</v>
      </c>
      <c r="I7" s="2">
        <v>12320.868015900345</v>
      </c>
    </row>
    <row r="8" spans="1:9">
      <c r="A8" s="5" t="s">
        <v>18</v>
      </c>
      <c r="B8" s="12"/>
      <c r="E8" t="s">
        <v>44</v>
      </c>
      <c r="F8" s="6" t="s">
        <v>57</v>
      </c>
      <c r="H8" t="s">
        <v>38</v>
      </c>
      <c r="I8" s="2">
        <v>15599.86570661005</v>
      </c>
    </row>
    <row r="9" spans="1:9">
      <c r="A9" t="s">
        <v>36</v>
      </c>
      <c r="B9" s="12">
        <v>-1833.0603180253747</v>
      </c>
      <c r="E9" t="s">
        <v>45</v>
      </c>
      <c r="F9" s="6" t="s">
        <v>25</v>
      </c>
      <c r="H9" t="s">
        <v>39</v>
      </c>
      <c r="I9" s="2">
        <v>18859.280413314325</v>
      </c>
    </row>
    <row r="10" spans="1:9">
      <c r="A10" t="s">
        <v>37</v>
      </c>
      <c r="B10" s="12">
        <v>12320.868015900345</v>
      </c>
      <c r="E10" t="s">
        <v>46</v>
      </c>
      <c r="F10" s="6" t="s">
        <v>2</v>
      </c>
      <c r="H10" t="s">
        <v>40</v>
      </c>
      <c r="I10" s="2">
        <v>30000</v>
      </c>
    </row>
    <row r="11" spans="1:9">
      <c r="A11" t="s">
        <v>38</v>
      </c>
      <c r="B11" s="12">
        <v>15599.86570661005</v>
      </c>
      <c r="E11" s="5" t="s">
        <v>18</v>
      </c>
    </row>
    <row r="12" spans="1:9">
      <c r="A12" t="s">
        <v>39</v>
      </c>
      <c r="B12" s="12">
        <v>18859.280413314325</v>
      </c>
    </row>
    <row r="13" spans="1:9">
      <c r="A13" t="s">
        <v>40</v>
      </c>
      <c r="B13" s="12">
        <v>30000</v>
      </c>
    </row>
    <row r="14" spans="1:9">
      <c r="B14" s="12"/>
    </row>
    <row r="15" spans="1:9">
      <c r="B15" s="12"/>
    </row>
    <row r="16" spans="1:9">
      <c r="A16" t="s">
        <v>41</v>
      </c>
      <c r="B16" s="12"/>
    </row>
    <row r="17" spans="1:6">
      <c r="B17" s="12" t="s">
        <v>2</v>
      </c>
    </row>
    <row r="18" spans="1:6">
      <c r="A18" s="10">
        <v>0</v>
      </c>
      <c r="B18" s="12">
        <v>-1833.0603180253747</v>
      </c>
    </row>
    <row r="19" spans="1:6">
      <c r="A19" s="10">
        <v>5.0000000000000001E-3</v>
      </c>
      <c r="B19" s="12">
        <v>2966.2040833150218</v>
      </c>
    </row>
    <row r="20" spans="1:6">
      <c r="A20" s="10">
        <v>0.01</v>
      </c>
      <c r="B20" s="12">
        <v>3927.8432325594108</v>
      </c>
    </row>
    <row r="21" spans="1:6">
      <c r="A21" s="10">
        <v>2.5000000000000001E-2</v>
      </c>
      <c r="B21" s="12">
        <v>5713.7596404452925</v>
      </c>
    </row>
    <row r="22" spans="1:6">
      <c r="A22" s="10">
        <v>0.05</v>
      </c>
      <c r="B22" s="12">
        <v>7165.0985277363752</v>
      </c>
    </row>
    <row r="23" spans="1:6">
      <c r="A23" s="10">
        <v>0.1</v>
      </c>
      <c r="B23" s="12">
        <v>9179.336084789391</v>
      </c>
    </row>
    <row r="24" spans="1:6">
      <c r="A24" s="10">
        <v>0.15</v>
      </c>
      <c r="B24" s="12">
        <v>10486.905553268398</v>
      </c>
    </row>
    <row r="25" spans="1:6">
      <c r="A25" s="10">
        <v>0.2</v>
      </c>
      <c r="B25" s="12">
        <v>11458.078771282406</v>
      </c>
    </row>
    <row r="26" spans="1:6">
      <c r="A26" s="10">
        <v>0.25</v>
      </c>
      <c r="B26" s="12">
        <v>12320.868015900345</v>
      </c>
    </row>
    <row r="27" spans="1:6">
      <c r="A27" s="10">
        <v>0.3</v>
      </c>
      <c r="B27" s="12">
        <v>12980.3133070452</v>
      </c>
    </row>
    <row r="28" spans="1:6">
      <c r="A28" s="10">
        <v>0.35</v>
      </c>
      <c r="B28" s="12">
        <v>13620.940927728929</v>
      </c>
    </row>
    <row r="29" spans="1:6">
      <c r="A29" s="10">
        <v>0.4</v>
      </c>
      <c r="B29" s="12">
        <v>14382.579915755397</v>
      </c>
    </row>
    <row r="30" spans="1:6">
      <c r="A30" s="10">
        <v>0.45</v>
      </c>
      <c r="B30" s="12">
        <v>14996.948591778542</v>
      </c>
      <c r="E30" s="3" t="s">
        <v>47</v>
      </c>
      <c r="F30" s="3" t="s">
        <v>48</v>
      </c>
    </row>
    <row r="31" spans="1:6">
      <c r="A31" s="10">
        <v>0.5</v>
      </c>
      <c r="B31" s="12">
        <v>15599.86570661005</v>
      </c>
      <c r="E31" s="2">
        <v>-5000</v>
      </c>
      <c r="F31">
        <v>0</v>
      </c>
    </row>
    <row r="32" spans="1:6">
      <c r="A32" s="10">
        <v>0.55000000000000004</v>
      </c>
      <c r="B32" s="12">
        <v>16223.826820823409</v>
      </c>
      <c r="E32" s="2">
        <v>-2500</v>
      </c>
      <c r="F32">
        <v>0</v>
      </c>
    </row>
    <row r="33" spans="1:6">
      <c r="A33" s="10">
        <v>0.6</v>
      </c>
      <c r="B33" s="12">
        <v>16847.28838069638</v>
      </c>
      <c r="E33" s="2">
        <v>0</v>
      </c>
      <c r="F33">
        <v>2</v>
      </c>
    </row>
    <row r="34" spans="1:6">
      <c r="A34" s="10">
        <v>0.65</v>
      </c>
      <c r="B34" s="12">
        <v>17524.336434340657</v>
      </c>
      <c r="E34" s="2">
        <v>2500</v>
      </c>
      <c r="F34">
        <v>14</v>
      </c>
    </row>
    <row r="35" spans="1:6">
      <c r="A35" s="10">
        <v>0.7</v>
      </c>
      <c r="B35" s="12">
        <v>18170.985787280395</v>
      </c>
      <c r="E35" s="2">
        <v>5000</v>
      </c>
      <c r="F35">
        <v>67</v>
      </c>
    </row>
    <row r="36" spans="1:6">
      <c r="A36" s="10">
        <v>0.75</v>
      </c>
      <c r="B36" s="12">
        <v>18859.280413314325</v>
      </c>
      <c r="E36" s="2">
        <v>7500</v>
      </c>
      <c r="F36">
        <v>199</v>
      </c>
    </row>
    <row r="37" spans="1:6">
      <c r="A37" s="10">
        <v>0.8</v>
      </c>
      <c r="B37" s="12">
        <v>19690.183670210194</v>
      </c>
      <c r="E37" s="2">
        <v>10000</v>
      </c>
      <c r="F37">
        <v>357</v>
      </c>
    </row>
    <row r="38" spans="1:6">
      <c r="A38" s="10">
        <v>0.85</v>
      </c>
      <c r="B38" s="12">
        <v>20629.883789653853</v>
      </c>
      <c r="E38" s="2">
        <v>12500</v>
      </c>
      <c r="F38">
        <v>668</v>
      </c>
    </row>
    <row r="39" spans="1:6">
      <c r="A39" s="10">
        <v>0.9</v>
      </c>
      <c r="B39" s="12">
        <v>21777.407559224626</v>
      </c>
      <c r="E39" s="2">
        <v>15000</v>
      </c>
      <c r="F39">
        <v>944</v>
      </c>
    </row>
    <row r="40" spans="1:6">
      <c r="A40" s="10">
        <v>0.95</v>
      </c>
      <c r="B40" s="12">
        <v>23457.756272488732</v>
      </c>
      <c r="E40" s="2">
        <v>17500</v>
      </c>
      <c r="F40">
        <v>990</v>
      </c>
    </row>
    <row r="41" spans="1:6">
      <c r="A41" s="10">
        <v>0.97499999999999998</v>
      </c>
      <c r="B41" s="12">
        <v>24962.593403723389</v>
      </c>
      <c r="E41" s="2">
        <v>20000</v>
      </c>
      <c r="F41">
        <v>855</v>
      </c>
    </row>
    <row r="42" spans="1:6">
      <c r="A42" s="10">
        <v>0.99</v>
      </c>
      <c r="B42" s="12">
        <v>26566.059794732879</v>
      </c>
      <c r="E42" s="2">
        <v>22500</v>
      </c>
      <c r="F42">
        <v>523</v>
      </c>
    </row>
    <row r="43" spans="1:6">
      <c r="A43" s="10">
        <v>0.995</v>
      </c>
      <c r="B43" s="12">
        <v>27691.132615759521</v>
      </c>
      <c r="E43" s="2">
        <v>25000</v>
      </c>
      <c r="F43">
        <v>257</v>
      </c>
    </row>
    <row r="44" spans="1:6">
      <c r="A44" s="10">
        <v>1</v>
      </c>
      <c r="B44" s="12">
        <v>30000</v>
      </c>
      <c r="E44" s="2">
        <v>27500</v>
      </c>
      <c r="F44">
        <v>96</v>
      </c>
    </row>
    <row r="45" spans="1:6">
      <c r="E45" s="2">
        <v>30000</v>
      </c>
      <c r="F45">
        <v>28</v>
      </c>
    </row>
    <row r="46" spans="1:6">
      <c r="E46" s="2">
        <v>32500</v>
      </c>
      <c r="F46">
        <v>0</v>
      </c>
    </row>
    <row r="47" spans="1:6">
      <c r="E47" s="2">
        <v>35000</v>
      </c>
      <c r="F47">
        <v>0</v>
      </c>
    </row>
  </sheetData>
  <pageMargins left="0.7" right="0.7" top="0.75" bottom="0.75" header="0.3" footer="0.3"/>
  <pageSetup orientation="portrait" verticalDpi="300" r:id="rId1"/>
  <headerFooter>
    <oddHeader>&amp;L&amp;"Arial,Bold"SimVoi 313 Student Version&amp;R&amp;"Arial,Bold"Only For Students And Instructors</oddHeader>
    <oddFooter>&amp;L&amp;"Arial,Bold"Not For Commercial Use&amp;R&amp;"Arial,Bold"SimVoi.com</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C2026-C8E5-4930-A425-0ABDE4B70D80}">
  <sheetPr>
    <pageSetUpPr fitToPage="1"/>
  </sheetPr>
  <dimension ref="A1:I53"/>
  <sheetViews>
    <sheetView workbookViewId="0">
      <selection activeCell="K21" sqref="K21"/>
    </sheetView>
  </sheetViews>
  <sheetFormatPr defaultRowHeight="14.5"/>
  <cols>
    <col min="1" max="1" width="15.36328125" bestFit="1" customWidth="1"/>
    <col min="2" max="2" width="12.453125" bestFit="1" customWidth="1"/>
    <col min="5" max="5" width="10.453125" bestFit="1" customWidth="1"/>
    <col min="6" max="6" width="14.1796875" bestFit="1" customWidth="1"/>
    <col min="7" max="7" width="25.6328125" customWidth="1"/>
    <col min="8" max="8" width="13" bestFit="1" customWidth="1"/>
    <col min="9" max="9" width="12.453125" bestFit="1" customWidth="1"/>
  </cols>
  <sheetData>
    <row r="1" spans="1:9">
      <c r="A1" s="5" t="s">
        <v>31</v>
      </c>
      <c r="E1" s="5" t="s">
        <v>42</v>
      </c>
      <c r="H1" t="s">
        <v>32</v>
      </c>
      <c r="I1" s="2">
        <v>15199.000193747408</v>
      </c>
    </row>
    <row r="2" spans="1:9">
      <c r="A2" s="5" t="s">
        <v>15</v>
      </c>
      <c r="E2" t="s">
        <v>16</v>
      </c>
      <c r="F2" s="7">
        <v>45777</v>
      </c>
      <c r="H2" t="s">
        <v>33</v>
      </c>
      <c r="I2" s="2">
        <v>3221.6693254020629</v>
      </c>
    </row>
    <row r="3" spans="1:9">
      <c r="B3" s="3" t="s">
        <v>2</v>
      </c>
      <c r="E3" t="s">
        <v>17</v>
      </c>
      <c r="F3" s="8">
        <v>0.58871527777777777</v>
      </c>
      <c r="H3" t="s">
        <v>34</v>
      </c>
      <c r="I3" s="2">
        <v>45.561284534649772</v>
      </c>
    </row>
    <row r="4" spans="1:9">
      <c r="A4" t="s">
        <v>32</v>
      </c>
      <c r="B4" s="12">
        <v>15199.000193747401</v>
      </c>
      <c r="E4" t="s">
        <v>43</v>
      </c>
      <c r="F4" s="6">
        <v>5000</v>
      </c>
      <c r="H4" t="s">
        <v>35</v>
      </c>
      <c r="I4" s="11">
        <v>-1.3454569769492255</v>
      </c>
    </row>
    <row r="5" spans="1:9">
      <c r="A5" t="s">
        <v>33</v>
      </c>
      <c r="B5" s="12">
        <v>3221.6693254020629</v>
      </c>
      <c r="E5" t="s">
        <v>21</v>
      </c>
      <c r="F5" s="6">
        <v>361535977</v>
      </c>
      <c r="I5" s="2"/>
    </row>
    <row r="6" spans="1:9">
      <c r="A6" t="s">
        <v>34</v>
      </c>
      <c r="B6" s="12">
        <v>45.561284534649772</v>
      </c>
      <c r="E6" t="s">
        <v>19</v>
      </c>
      <c r="F6" s="6" t="s">
        <v>50</v>
      </c>
      <c r="H6" t="s">
        <v>36</v>
      </c>
      <c r="I6" s="2">
        <v>-521.9170193331156</v>
      </c>
    </row>
    <row r="7" spans="1:9">
      <c r="A7" t="s">
        <v>35</v>
      </c>
      <c r="B7" s="13">
        <v>-1.3454569769492255</v>
      </c>
      <c r="E7" s="5" t="s">
        <v>15</v>
      </c>
      <c r="F7" s="6"/>
      <c r="H7" t="s">
        <v>37</v>
      </c>
      <c r="I7" s="2">
        <v>13369.455790606055</v>
      </c>
    </row>
    <row r="8" spans="1:9">
      <c r="A8" s="5" t="s">
        <v>18</v>
      </c>
      <c r="B8" s="12"/>
      <c r="E8" t="s">
        <v>44</v>
      </c>
      <c r="F8" s="6" t="s">
        <v>55</v>
      </c>
      <c r="H8" t="s">
        <v>38</v>
      </c>
      <c r="I8" s="2">
        <v>16426.098292275747</v>
      </c>
    </row>
    <row r="9" spans="1:9">
      <c r="A9" t="s">
        <v>36</v>
      </c>
      <c r="B9" s="12">
        <v>-521.9170193331156</v>
      </c>
      <c r="E9" t="s">
        <v>45</v>
      </c>
      <c r="F9" s="6" t="s">
        <v>25</v>
      </c>
      <c r="H9" t="s">
        <v>39</v>
      </c>
      <c r="I9" s="2">
        <v>18000</v>
      </c>
    </row>
    <row r="10" spans="1:9">
      <c r="A10" t="s">
        <v>37</v>
      </c>
      <c r="B10" s="12">
        <v>13369.455790606055</v>
      </c>
      <c r="E10" t="s">
        <v>46</v>
      </c>
      <c r="F10" s="6" t="s">
        <v>2</v>
      </c>
      <c r="H10" t="s">
        <v>40</v>
      </c>
      <c r="I10" s="2">
        <v>18000</v>
      </c>
    </row>
    <row r="11" spans="1:9">
      <c r="A11" t="s">
        <v>38</v>
      </c>
      <c r="B11" s="12">
        <v>16426.098292275747</v>
      </c>
      <c r="E11" s="5" t="s">
        <v>18</v>
      </c>
    </row>
    <row r="12" spans="1:9">
      <c r="A12" t="s">
        <v>39</v>
      </c>
      <c r="B12" s="12">
        <v>18000</v>
      </c>
    </row>
    <row r="13" spans="1:9">
      <c r="A13" t="s">
        <v>40</v>
      </c>
      <c r="B13" s="12">
        <v>18000</v>
      </c>
    </row>
    <row r="14" spans="1:9">
      <c r="B14" s="12"/>
    </row>
    <row r="15" spans="1:9">
      <c r="B15" s="12"/>
    </row>
    <row r="16" spans="1:9">
      <c r="A16" t="s">
        <v>41</v>
      </c>
      <c r="B16" s="12"/>
    </row>
    <row r="17" spans="1:6">
      <c r="B17" s="12" t="s">
        <v>2</v>
      </c>
    </row>
    <row r="18" spans="1:6">
      <c r="A18" s="10">
        <v>0</v>
      </c>
      <c r="B18" s="12">
        <v>-521.9170193331156</v>
      </c>
    </row>
    <row r="19" spans="1:6">
      <c r="A19" s="10">
        <v>5.0000000000000001E-3</v>
      </c>
      <c r="B19" s="12">
        <v>4197.0107363431425</v>
      </c>
    </row>
    <row r="20" spans="1:6">
      <c r="A20" s="10">
        <v>0.01</v>
      </c>
      <c r="B20" s="12">
        <v>5160.6286237039676</v>
      </c>
    </row>
    <row r="21" spans="1:6">
      <c r="A21" s="10">
        <v>2.5000000000000001E-2</v>
      </c>
      <c r="B21" s="12">
        <v>7079.7429103603026</v>
      </c>
    </row>
    <row r="22" spans="1:6">
      <c r="A22" s="10">
        <v>0.05</v>
      </c>
      <c r="B22" s="12">
        <v>8649.4911207805453</v>
      </c>
    </row>
    <row r="23" spans="1:6">
      <c r="A23" s="10">
        <v>0.1</v>
      </c>
      <c r="B23" s="12">
        <v>10452.499181524712</v>
      </c>
    </row>
    <row r="24" spans="1:6">
      <c r="A24" s="10">
        <v>0.15</v>
      </c>
      <c r="B24" s="12">
        <v>11600.913272432526</v>
      </c>
    </row>
    <row r="25" spans="1:6">
      <c r="A25" s="10">
        <v>0.2</v>
      </c>
      <c r="B25" s="12">
        <v>12601.688566995923</v>
      </c>
    </row>
    <row r="26" spans="1:6">
      <c r="A26" s="10">
        <v>0.25</v>
      </c>
      <c r="B26" s="12">
        <v>13369.455790606055</v>
      </c>
    </row>
    <row r="27" spans="1:6">
      <c r="A27" s="10">
        <v>0.3</v>
      </c>
      <c r="B27" s="12">
        <v>14100.045180373821</v>
      </c>
    </row>
    <row r="28" spans="1:6">
      <c r="A28" s="10">
        <v>0.35</v>
      </c>
      <c r="B28" s="12">
        <v>14858.523356395022</v>
      </c>
    </row>
    <row r="29" spans="1:6">
      <c r="A29" s="10">
        <v>0.4</v>
      </c>
      <c r="B29" s="12">
        <v>15552.388650769166</v>
      </c>
    </row>
    <row r="30" spans="1:6">
      <c r="A30" s="10">
        <v>0.45</v>
      </c>
      <c r="B30" s="12">
        <v>16052.798615671531</v>
      </c>
      <c r="E30" s="3" t="s">
        <v>47</v>
      </c>
      <c r="F30" s="3" t="s">
        <v>48</v>
      </c>
    </row>
    <row r="31" spans="1:6">
      <c r="A31" s="10">
        <v>0.5</v>
      </c>
      <c r="B31" s="12">
        <v>16426.098292275747</v>
      </c>
      <c r="E31" s="2">
        <v>-2000</v>
      </c>
      <c r="F31">
        <v>0</v>
      </c>
    </row>
    <row r="32" spans="1:6">
      <c r="A32" s="10">
        <v>0.55000000000000004</v>
      </c>
      <c r="B32" s="12">
        <v>16773.343682303126</v>
      </c>
      <c r="E32" s="2">
        <v>-1000</v>
      </c>
      <c r="F32">
        <v>0</v>
      </c>
    </row>
    <row r="33" spans="1:6">
      <c r="A33" s="10">
        <v>0.6</v>
      </c>
      <c r="B33" s="12">
        <v>17105.006297715212</v>
      </c>
      <c r="E33" s="2">
        <v>0</v>
      </c>
      <c r="F33">
        <v>3</v>
      </c>
    </row>
    <row r="34" spans="1:6">
      <c r="A34" s="10">
        <v>0.65</v>
      </c>
      <c r="B34" s="12">
        <v>17396.749118800199</v>
      </c>
      <c r="E34" s="2">
        <v>1000</v>
      </c>
      <c r="F34">
        <v>4</v>
      </c>
    </row>
    <row r="35" spans="1:6">
      <c r="A35" s="10">
        <v>0.7</v>
      </c>
      <c r="B35" s="12">
        <v>17683.616574322801</v>
      </c>
      <c r="E35" s="2">
        <v>2000</v>
      </c>
      <c r="F35">
        <v>4</v>
      </c>
    </row>
    <row r="36" spans="1:6">
      <c r="A36" s="10">
        <v>0.75</v>
      </c>
      <c r="B36" s="12">
        <v>18000</v>
      </c>
      <c r="E36" s="2">
        <v>3000</v>
      </c>
      <c r="F36">
        <v>6</v>
      </c>
    </row>
    <row r="37" spans="1:6">
      <c r="A37" s="10">
        <v>0.8</v>
      </c>
      <c r="B37" s="12">
        <v>18000</v>
      </c>
      <c r="E37" s="2">
        <v>4000</v>
      </c>
      <c r="F37">
        <v>7</v>
      </c>
    </row>
    <row r="38" spans="1:6">
      <c r="A38" s="10">
        <v>0.85</v>
      </c>
      <c r="B38" s="12">
        <v>18000</v>
      </c>
      <c r="E38" s="2">
        <v>5000</v>
      </c>
      <c r="F38">
        <v>23</v>
      </c>
    </row>
    <row r="39" spans="1:6">
      <c r="A39" s="10">
        <v>0.9</v>
      </c>
      <c r="B39" s="12">
        <v>18000</v>
      </c>
      <c r="E39" s="2">
        <v>6000</v>
      </c>
      <c r="F39">
        <v>30</v>
      </c>
    </row>
    <row r="40" spans="1:6">
      <c r="A40" s="10">
        <v>0.95</v>
      </c>
      <c r="B40" s="12">
        <v>18000</v>
      </c>
      <c r="E40" s="2">
        <v>7000</v>
      </c>
      <c r="F40">
        <v>46</v>
      </c>
    </row>
    <row r="41" spans="1:6">
      <c r="A41" s="10">
        <v>0.97499999999999998</v>
      </c>
      <c r="B41" s="12">
        <v>18000</v>
      </c>
      <c r="E41" s="2">
        <v>8000</v>
      </c>
      <c r="F41">
        <v>63</v>
      </c>
    </row>
    <row r="42" spans="1:6">
      <c r="A42" s="10">
        <v>0.99</v>
      </c>
      <c r="B42" s="12">
        <v>18000</v>
      </c>
      <c r="E42" s="2">
        <v>9000</v>
      </c>
      <c r="F42">
        <v>102</v>
      </c>
    </row>
    <row r="43" spans="1:6">
      <c r="A43" s="10">
        <v>0.995</v>
      </c>
      <c r="B43" s="12">
        <v>18000</v>
      </c>
      <c r="E43" s="2">
        <v>10000</v>
      </c>
      <c r="F43">
        <v>140</v>
      </c>
    </row>
    <row r="44" spans="1:6">
      <c r="A44" s="10">
        <v>1</v>
      </c>
      <c r="B44" s="12">
        <v>18000</v>
      </c>
      <c r="E44" s="2">
        <v>11000</v>
      </c>
      <c r="F44">
        <v>180</v>
      </c>
    </row>
    <row r="45" spans="1:6">
      <c r="E45" s="2">
        <v>12000</v>
      </c>
      <c r="F45">
        <v>240</v>
      </c>
    </row>
    <row r="46" spans="1:6">
      <c r="E46" s="2">
        <v>13000</v>
      </c>
      <c r="F46">
        <v>272</v>
      </c>
    </row>
    <row r="47" spans="1:6">
      <c r="E47" s="2">
        <v>14000</v>
      </c>
      <c r="F47">
        <v>334</v>
      </c>
    </row>
    <row r="48" spans="1:6">
      <c r="E48" s="2">
        <v>15000</v>
      </c>
      <c r="F48">
        <v>339</v>
      </c>
    </row>
    <row r="49" spans="5:6">
      <c r="E49" s="2">
        <v>16000</v>
      </c>
      <c r="F49">
        <v>432</v>
      </c>
    </row>
    <row r="50" spans="5:6">
      <c r="E50" s="2">
        <v>17000</v>
      </c>
      <c r="F50">
        <v>697</v>
      </c>
    </row>
    <row r="51" spans="5:6">
      <c r="E51" s="2">
        <v>18000</v>
      </c>
      <c r="F51">
        <v>2078</v>
      </c>
    </row>
    <row r="52" spans="5:6">
      <c r="E52" s="2">
        <v>19000</v>
      </c>
      <c r="F52">
        <v>0</v>
      </c>
    </row>
    <row r="53" spans="5:6">
      <c r="E53" s="2">
        <v>20000</v>
      </c>
      <c r="F53">
        <v>0</v>
      </c>
    </row>
  </sheetData>
  <pageMargins left="0.7" right="0.7" top="0.75" bottom="0.75" header="0.3" footer="0.3"/>
  <pageSetup orientation="portrait" verticalDpi="300" r:id="rId1"/>
  <headerFooter>
    <oddHeader>&amp;L&amp;"Arial,Bold"SimVoi 313 Student Version&amp;R&amp;"Arial,Bold"Only For Students And Instructors</oddHeader>
    <oddFooter>&amp;L&amp;"Arial,Bold"Not For Commercial Use&amp;R&amp;"Arial,Bold"SimVoi.com</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14</vt:i4>
      </vt:variant>
    </vt:vector>
  </HeadingPairs>
  <TitlesOfParts>
    <vt:vector size="31" baseType="lpstr">
      <vt:lpstr>Model &amp; Answers</vt:lpstr>
      <vt:lpstr>Explanations</vt:lpstr>
      <vt:lpstr>a.) SimVoi.1 Univariate Summary</vt:lpstr>
      <vt:lpstr>b.) SimVoi.2 Univariate Summary</vt:lpstr>
      <vt:lpstr>c.) SimVoi.3 Simulation Data</vt:lpstr>
      <vt:lpstr>d.)</vt:lpstr>
      <vt:lpstr>275order</vt:lpstr>
      <vt:lpstr>300order</vt:lpstr>
      <vt:lpstr>325order</vt:lpstr>
      <vt:lpstr>350order</vt:lpstr>
      <vt:lpstr>375order</vt:lpstr>
      <vt:lpstr>400order</vt:lpstr>
      <vt:lpstr>425order</vt:lpstr>
      <vt:lpstr>450order</vt:lpstr>
      <vt:lpstr>475order</vt:lpstr>
      <vt:lpstr>500order</vt:lpstr>
      <vt:lpstr>e.)SimVoi.10 Univariate Summary</vt:lpstr>
      <vt:lpstr>'275order'!Print_Area</vt:lpstr>
      <vt:lpstr>'300order'!Print_Area</vt:lpstr>
      <vt:lpstr>'325order'!Print_Area</vt:lpstr>
      <vt:lpstr>'350order'!Print_Area</vt:lpstr>
      <vt:lpstr>'375order'!Print_Area</vt:lpstr>
      <vt:lpstr>'400order'!Print_Area</vt:lpstr>
      <vt:lpstr>'425order'!Print_Area</vt:lpstr>
      <vt:lpstr>'450order'!Print_Area</vt:lpstr>
      <vt:lpstr>'475order'!Print_Area</vt:lpstr>
      <vt:lpstr>'500order'!Print_Area</vt:lpstr>
      <vt:lpstr>'a.) SimVoi.1 Univariate Summary'!Print_Area</vt:lpstr>
      <vt:lpstr>'b.) SimVoi.2 Univariate Summary'!Print_Area</vt:lpstr>
      <vt:lpstr>'c.) SimVoi.3 Simulation Data'!Print_Area</vt:lpstr>
      <vt:lpstr>'e.)SimVoi.10 Univariate 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Tsion T</cp:lastModifiedBy>
  <dcterms:created xsi:type="dcterms:W3CDTF">2025-04-29T13:53:13Z</dcterms:created>
  <dcterms:modified xsi:type="dcterms:W3CDTF">2025-05-01T02:25:52Z</dcterms:modified>
</cp:coreProperties>
</file>